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Dashboard" sheetId="2" state="visible" r:id="rId4"/>
    <sheet name="Leads" sheetId="3" state="visible" r:id="rId5"/>
    <sheet name="Reference" sheetId="4" state="visible" r:id="rId6"/>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R1" authorId="0">
      <text>
        <r>
          <rPr>
            <sz val="10"/>
            <rFont val="Arial"/>
            <family val="2"/>
          </rPr>
          <t xml:space="preserve">Auto-calculated. See the Reference tab for what Hot/Warm/Cold/Closed mean.</t>
        </r>
      </text>
    </comment>
    <comment ref="T1" authorId="0">
      <text>
        <r>
          <rPr>
            <sz val="10"/>
            <rFont val="Arial"/>
            <family val="2"/>
          </rPr>
          <t xml:space="preserve">Auto-suggested next action based on stage, follow-up status, and engagement.</t>
        </r>
      </text>
    </comment>
  </commentList>
</comments>
</file>

<file path=xl/sharedStrings.xml><?xml version="1.0" encoding="utf-8"?>
<sst xmlns="http://schemas.openxmlformats.org/spreadsheetml/2006/main" count="212" uniqueCount="147">
  <si>
    <t xml:space="preserve">Dance Lead Machine™</t>
  </si>
  <si>
    <t xml:space="preserve">Lead Tracker &amp; Executive Dashboard — v1 Prototype</t>
  </si>
  <si>
    <t xml:space="preserve">How this workbook works</t>
  </si>
  <si>
    <t xml:space="preserve">This is the first working piece of Dance Lead Machine™: a smart lead tracker that scores every lead automatically and an Executive Dashboard that tells you who to contact first and how much money is sitting in your pipeline.</t>
  </si>
  <si>
    <t xml:space="preserve">1. Log every lead on the "Leads" tab</t>
  </si>
  <si>
    <t xml:space="preserve">Every time someone reaches out — Instagram DM, form, QR code, walk-in, phone call — add one row. Fill in the blue cells (name, contact info, interest, source, stage, follow-up date, revenue estimate, engagement score). Everything else calculates itself.</t>
  </si>
  <si>
    <t xml:space="preserve">2. Let the sheet score the lead for you</t>
  </si>
  <si>
    <t xml:space="preserve">The "Lead Temperature" column automatically marks each lead Hot, Warm, or Cold based on how interested they seem, what stage they're at, and how long it's been since you last talked. The "AI Next Action" column tells you exactly what to do next.</t>
  </si>
  <si>
    <t xml:space="preserve">3. Check the "Dashboard" tab every morning</t>
  </si>
  <si>
    <t xml:space="preserve">This is your Executive Dashboard: Hot/Warm/Cold counts, follow-ups due today, pipeline value, projected revenue, close rate, business health, and an AI Coach box telling you which 2 leads to contact first and why.</t>
  </si>
  <si>
    <t xml:space="preserve">4. Check the "Reference" tab if you want to customize</t>
  </si>
  <si>
    <t xml:space="preserve">This tab holds the dropdown lists (pipeline stages, lead sources, dance interests, instructors) and the stage-to-probability weights used to project revenue. Edit it to match your business.</t>
  </si>
  <si>
    <t xml:space="preserve">What's next</t>
  </si>
  <si>
    <t xml:space="preserve">This spreadsheet is the prototype. The long-term vision is for Dance Lead Machine™ to do this work automatically — an AI Receptionist that responds to inquiries, auto-books appointments, and sends follow-ups on its own. This workbook proves out the logic (scoring, coaching, dashboarding) that the automated product will eventually run in the background.</t>
  </si>
  <si>
    <t xml:space="preserve">Dance Lead Machine™ — Executive Dashboard</t>
  </si>
  <si>
    <t xml:space="preserve">Temperature</t>
  </si>
  <si>
    <t xml:space="preserve">Count</t>
  </si>
  <si>
    <t xml:space="preserve">🔥 HOT LEADS</t>
  </si>
  <si>
    <t xml:space="preserve">☀️ WARM LEADS</t>
  </si>
  <si>
    <t xml:space="preserve">❄️ COLD LEADS</t>
  </si>
  <si>
    <t xml:space="preserve">📅 DUE TODAY</t>
  </si>
  <si>
    <t xml:space="preserve">⚠️ OVERDUE</t>
  </si>
  <si>
    <t xml:space="preserve">Hot</t>
  </si>
  <si>
    <t xml:space="preserve">Warm</t>
  </si>
  <si>
    <t xml:space="preserve">Cold</t>
  </si>
  <si>
    <t xml:space="preserve">PIPELINE VALUE
(open leads)</t>
  </si>
  <si>
    <t xml:space="preserve">PROJECTED REVENUE
(weighted)</t>
  </si>
  <si>
    <t xml:space="preserve">CLOSE RATE</t>
  </si>
  <si>
    <t xml:space="preserve">NEW LEADS
(last 7 days)</t>
  </si>
  <si>
    <t xml:space="preserve">BUSINESS HEALTH</t>
  </si>
  <si>
    <t xml:space="preserve">Stage</t>
  </si>
  <si>
    <t xml:space="preserve">New Inquiry</t>
  </si>
  <si>
    <t xml:space="preserve">Contacted</t>
  </si>
  <si>
    <t xml:space="preserve">🤖 AI SALES COACH</t>
  </si>
  <si>
    <t xml:space="preserve">Qualified</t>
  </si>
  <si>
    <t xml:space="preserve">Appointment Booked</t>
  </si>
  <si>
    <t xml:space="preserve">Trial Completed</t>
  </si>
  <si>
    <t xml:space="preserve">Enrolled</t>
  </si>
  <si>
    <t xml:space="preserve">Lost</t>
  </si>
  <si>
    <t xml:space="preserve">📋 FOLLOW-UPS DUE TODAY OR OVERDUE</t>
  </si>
  <si>
    <t xml:space="preserve">Name</t>
  </si>
  <si>
    <t xml:space="preserve">Status</t>
  </si>
  <si>
    <t xml:space="preserve">Suggested Action</t>
  </si>
  <si>
    <t xml:space="preserve">ID</t>
  </si>
  <si>
    <t xml:space="preserve">Goal / Notes</t>
  </si>
  <si>
    <t xml:space="preserve">Lead Source</t>
  </si>
  <si>
    <t xml:space="preserve">Pipeline Stage</t>
  </si>
  <si>
    <t xml:space="preserve">Last Contact</t>
  </si>
  <si>
    <t xml:space="preserve">Next Follow-Up</t>
  </si>
  <si>
    <t xml:space="preserve">Assigned Instructor</t>
  </si>
  <si>
    <t xml:space="preserve">Recommended Product</t>
  </si>
  <si>
    <t xml:space="preserve">Potential Revenue ($)</t>
  </si>
  <si>
    <t xml:space="preserve">Engagement (1-5)</t>
  </si>
  <si>
    <t xml:space="preserve">Days Since Inquiry</t>
  </si>
  <si>
    <t xml:space="preserve">Follow-Up Status</t>
  </si>
  <si>
    <t xml:space="preserve">Lead Temperature</t>
  </si>
  <si>
    <t xml:space="preserve">Stage Weight</t>
  </si>
  <si>
    <t xml:space="preserve">AI Next Action</t>
  </si>
  <si>
    <t xml:space="preserve">Hot Rank Key</t>
  </si>
  <si>
    <t xml:space="preserve">FollowUp Rank Key</t>
  </si>
  <si>
    <t xml:space="preserve">Jessica Martinez</t>
  </si>
  <si>
    <t xml:space="preserve">480-555-0142</t>
  </si>
  <si>
    <t xml:space="preserve">jessica.m@email.com</t>
  </si>
  <si>
    <t xml:space="preserve">Wedding Dance</t>
  </si>
  <si>
    <t xml:space="preserve">Wedding is Oct 17, wants 6 private lessons before then</t>
  </si>
  <si>
    <t xml:space="preserve">Instagram</t>
  </si>
  <si>
    <t xml:space="preserve">Brigette</t>
  </si>
  <si>
    <t xml:space="preserve">Wedding Package (Private Lessons)</t>
  </si>
  <si>
    <t xml:space="preserve">Michael Chen</t>
  </si>
  <si>
    <t xml:space="preserve">602-555-0198</t>
  </si>
  <si>
    <t xml:space="preserve">mchen@email.com</t>
  </si>
  <si>
    <t xml:space="preserve">Private Lessons</t>
  </si>
  <si>
    <t xml:space="preserve">Wants weekly privates, flexible schedule, asked about pricing twice</t>
  </si>
  <si>
    <t xml:space="preserve">Website Form</t>
  </si>
  <si>
    <t xml:space="preserve">Robert</t>
  </si>
  <si>
    <t xml:space="preserve">Private Lesson Package</t>
  </si>
  <si>
    <t xml:space="preserve">Ashley Ramirez</t>
  </si>
  <si>
    <t xml:space="preserve">623-555-0177</t>
  </si>
  <si>
    <t xml:space="preserve">a.ramirez@email.com</t>
  </si>
  <si>
    <t xml:space="preserve">Beginner / Never Danced</t>
  </si>
  <si>
    <t xml:space="preserve">Never danced before, nervous, wants a friendly first class</t>
  </si>
  <si>
    <t xml:space="preserve">QR Code</t>
  </si>
  <si>
    <t xml:space="preserve">Unassigned</t>
  </si>
  <si>
    <t xml:space="preserve">Beginner Program</t>
  </si>
  <si>
    <t xml:space="preserve">Daniel Osei</t>
  </si>
  <si>
    <t xml:space="preserve">480-555-0133</t>
  </si>
  <si>
    <t xml:space="preserve">daniel.osei@email.com</t>
  </si>
  <si>
    <t xml:space="preserve">Social Dancing</t>
  </si>
  <si>
    <t xml:space="preserve">Wants to come to Friday socials, casual interest</t>
  </si>
  <si>
    <t xml:space="preserve">Facebook</t>
  </si>
  <si>
    <t xml:space="preserve">Social/Practice Party Pass</t>
  </si>
  <si>
    <t xml:space="preserve">Emily &amp; Josh Turner</t>
  </si>
  <si>
    <t xml:space="preserve">602-555-0111</t>
  </si>
  <si>
    <t xml:space="preserve">emily.turner@email.com</t>
  </si>
  <si>
    <t xml:space="preserve">Wedding in Dec, first dance to a specific song, very responsive</t>
  </si>
  <si>
    <t xml:space="preserve">Referral</t>
  </si>
  <si>
    <t xml:space="preserve">Priya Nair</t>
  </si>
  <si>
    <t xml:space="preserve">480-555-0166</t>
  </si>
  <si>
    <t xml:space="preserve">priya.nair@email.com</t>
  </si>
  <si>
    <t xml:space="preserve">Group Class</t>
  </si>
  <si>
    <t xml:space="preserve">Interested in beginner group series starting next month</t>
  </si>
  <si>
    <t xml:space="preserve">Group Class Series</t>
  </si>
  <si>
    <t xml:space="preserve">Carlos Vega</t>
  </si>
  <si>
    <t xml:space="preserve">623-555-0155</t>
  </si>
  <si>
    <t xml:space="preserve">carlos.vega@email.com</t>
  </si>
  <si>
    <t xml:space="preserve">Competitive / Team</t>
  </si>
  <si>
    <t xml:space="preserve">Former dancer, wants to join competitive team, very motivated</t>
  </si>
  <si>
    <t xml:space="preserve">Walk-In</t>
  </si>
  <si>
    <t xml:space="preserve">Competitive Team Program</t>
  </si>
  <si>
    <t xml:space="preserve">Nicole Brooks</t>
  </si>
  <si>
    <t xml:space="preserve">480-555-0121</t>
  </si>
  <si>
    <t xml:space="preserve">nicole.b@email.com</t>
  </si>
  <si>
    <t xml:space="preserve">Asked about intro offer, hasn't responded to last text</t>
  </si>
  <si>
    <t xml:space="preserve">Google/Search</t>
  </si>
  <si>
    <t xml:space="preserve">Marcus Johnson</t>
  </si>
  <si>
    <t xml:space="preserve">602-555-0144</t>
  </si>
  <si>
    <t xml:space="preserve">marcus.j@email.com</t>
  </si>
  <si>
    <t xml:space="preserve">Enrolled after trial lesson, loves West Coast Swing</t>
  </si>
  <si>
    <t xml:space="preserve">Grace Kim</t>
  </si>
  <si>
    <t xml:space="preserve">623-555-0188</t>
  </si>
  <si>
    <t xml:space="preserve">grace.kim@email.com</t>
  </si>
  <si>
    <t xml:space="preserve">Workshop / Event</t>
  </si>
  <si>
    <t xml:space="preserve">Signed up then went quiet, hasn't responded in 3 weeks</t>
  </si>
  <si>
    <t xml:space="preserve">Event</t>
  </si>
  <si>
    <t xml:space="preserve">Workshop Ticket</t>
  </si>
  <si>
    <t xml:space="preserve">Reference Lists &amp; Settings (edit to customize your business)</t>
  </si>
  <si>
    <t xml:space="preserve">Probability Weight</t>
  </si>
  <si>
    <t xml:space="preserve">Dance Interest</t>
  </si>
  <si>
    <t xml:space="preserve">Suggested Product</t>
  </si>
  <si>
    <t xml:space="preserve">Engagement Score Guide</t>
  </si>
  <si>
    <t xml:space="preserve">Score</t>
  </si>
  <si>
    <t xml:space="preserve">Meaning</t>
  </si>
  <si>
    <t xml:space="preserve">Very excited — fast replies, asking about price/dates</t>
  </si>
  <si>
    <t xml:space="preserve">Interested — replies same day, asks real questions</t>
  </si>
  <si>
    <t xml:space="preserve">Some interest — replies, but slow or noncommittal</t>
  </si>
  <si>
    <t xml:space="preserve">Lukewarm — one-word replies or long gaps</t>
  </si>
  <si>
    <t xml:space="preserve">Cold — hasn't responded in a while</t>
  </si>
  <si>
    <t xml:space="preserve">Phone Call</t>
  </si>
  <si>
    <t xml:space="preserve">Kids Program</t>
  </si>
  <si>
    <t xml:space="preserve">Kids Beginner Program</t>
  </si>
  <si>
    <t xml:space="preserve">Other</t>
  </si>
  <si>
    <t xml:space="preserve">Lead Temperature Key (auto-calculated on the Leads tab)</t>
  </si>
  <si>
    <t xml:space="preserve">Appointment booked, trial completed, or high engagement/qualified — contact today</t>
  </si>
  <si>
    <t xml:space="preserve">Qualified, contacted, or moderate engagement — nurture with info and next steps</t>
  </si>
  <si>
    <t xml:space="preserve">Low engagement, early stage — light-touch check-in</t>
  </si>
  <si>
    <t xml:space="preserve">Closed</t>
  </si>
  <si>
    <t xml:space="preserve">Already enrolled or marked lost</t>
  </si>
</sst>
</file>

<file path=xl/styles.xml><?xml version="1.0" encoding="utf-8"?>
<styleSheet xmlns="http://schemas.openxmlformats.org/spreadsheetml/2006/main">
  <numFmts count="6">
    <numFmt numFmtId="164" formatCode="General"/>
    <numFmt numFmtId="165" formatCode="0"/>
    <numFmt numFmtId="166" formatCode="\$#,##0"/>
    <numFmt numFmtId="167" formatCode="0%"/>
    <numFmt numFmtId="168" formatCode="@"/>
    <numFmt numFmtId="169" formatCode="m/d/yyyy"/>
  </numFmts>
  <fonts count="30">
    <font>
      <sz val="11"/>
      <color theme="1"/>
      <name val="Calibri"/>
      <family val="2"/>
      <charset val="1"/>
    </font>
    <font>
      <sz val="10"/>
      <name val="Arial"/>
      <family val="0"/>
    </font>
    <font>
      <sz val="10"/>
      <name val="Arial"/>
      <family val="0"/>
    </font>
    <font>
      <sz val="10"/>
      <name val="Arial"/>
      <family val="0"/>
    </font>
    <font>
      <b val="true"/>
      <sz val="24"/>
      <color rgb="FF1F2A44"/>
      <name val="Arial"/>
      <family val="0"/>
      <charset val="1"/>
    </font>
    <font>
      <i val="true"/>
      <sz val="13"/>
      <color rgb="FFC9A227"/>
      <name val="Arial"/>
      <family val="0"/>
      <charset val="1"/>
    </font>
    <font>
      <b val="true"/>
      <sz val="12"/>
      <color rgb="FF1F2A44"/>
      <name val="Arial"/>
      <family val="0"/>
      <charset val="1"/>
    </font>
    <font>
      <sz val="11"/>
      <color rgb="FF333333"/>
      <name val="Arial"/>
      <family val="0"/>
      <charset val="1"/>
    </font>
    <font>
      <b val="true"/>
      <sz val="20"/>
      <color rgb="FF1F2A44"/>
      <name val="Arial"/>
      <family val="0"/>
      <charset val="1"/>
    </font>
    <font>
      <i val="true"/>
      <sz val="12"/>
      <color rgb="FF666666"/>
      <name val="Arial"/>
      <family val="0"/>
      <charset val="1"/>
    </font>
    <font>
      <b val="true"/>
      <sz val="10"/>
      <color rgb="FFFFFFFF"/>
      <name val="Arial"/>
      <family val="0"/>
      <charset val="1"/>
    </font>
    <font>
      <b val="true"/>
      <sz val="22"/>
      <color rgb="FFE06666"/>
      <name val="Arial"/>
      <family val="0"/>
      <charset val="1"/>
    </font>
    <font>
      <b val="true"/>
      <sz val="22"/>
      <color rgb="FFF6B26B"/>
      <name val="Arial"/>
      <family val="0"/>
      <charset val="1"/>
    </font>
    <font>
      <b val="true"/>
      <sz val="22"/>
      <color rgb="FF9FC5E8"/>
      <name val="Arial"/>
      <family val="0"/>
      <charset val="1"/>
    </font>
    <font>
      <b val="true"/>
      <sz val="22"/>
      <color rgb="FF1F2A44"/>
      <name val="Arial"/>
      <family val="0"/>
      <charset val="1"/>
    </font>
    <font>
      <b val="true"/>
      <sz val="22"/>
      <color rgb="FF990000"/>
      <name val="Arial"/>
      <family val="0"/>
      <charset val="1"/>
    </font>
    <font>
      <b val="true"/>
      <sz val="22"/>
      <color rgb="FFC9A227"/>
      <name val="Arial"/>
      <family val="0"/>
      <charset val="1"/>
    </font>
    <font>
      <b val="true"/>
      <sz val="22"/>
      <color rgb="FF6AA84F"/>
      <name val="Arial"/>
      <family val="0"/>
      <charset val="1"/>
    </font>
    <font>
      <b val="true"/>
      <sz val="16"/>
      <color rgb="FF6AA84F"/>
      <name val="Arial"/>
      <family val="0"/>
      <charset val="1"/>
    </font>
    <font>
      <b val="true"/>
      <sz val="14"/>
      <color rgb="FFFFFFFF"/>
      <name val="Arial"/>
      <family val="0"/>
      <charset val="1"/>
    </font>
    <font>
      <sz val="12"/>
      <color rgb="FF222222"/>
      <name val="Arial"/>
      <family val="0"/>
      <charset val="1"/>
    </font>
    <font>
      <b val="true"/>
      <sz val="13"/>
      <color rgb="FFFFFFFF"/>
      <name val="Arial"/>
      <family val="0"/>
      <charset val="1"/>
    </font>
    <font>
      <sz val="10"/>
      <name val="Arial"/>
      <family val="0"/>
      <charset val="1"/>
    </font>
    <font>
      <b val="true"/>
      <sz val="18"/>
      <color rgb="FF000000"/>
      <name val="Calibri"/>
      <family val="2"/>
    </font>
    <font>
      <sz val="10"/>
      <color rgb="FF000000"/>
      <name val="Calibri"/>
      <family val="2"/>
    </font>
    <font>
      <b val="true"/>
      <sz val="10"/>
      <color rgb="FF000000"/>
      <name val="Calibri"/>
      <family val="2"/>
    </font>
    <font>
      <sz val="10"/>
      <name val="Arial"/>
      <family val="2"/>
    </font>
    <font>
      <b val="true"/>
      <sz val="14"/>
      <color rgb="FF1F2A44"/>
      <name val="Arial"/>
      <family val="0"/>
      <charset val="1"/>
    </font>
    <font>
      <b val="true"/>
      <sz val="11"/>
      <color rgb="FFFFFFFF"/>
      <name val="Arial"/>
      <family val="0"/>
      <charset val="1"/>
    </font>
    <font>
      <b val="true"/>
      <sz val="11"/>
      <name val="Arial"/>
      <family val="0"/>
      <charset val="1"/>
    </font>
  </fonts>
  <fills count="14">
    <fill>
      <patternFill patternType="none"/>
    </fill>
    <fill>
      <patternFill patternType="gray125"/>
    </fill>
    <fill>
      <patternFill patternType="solid">
        <fgColor rgb="FFE06666"/>
        <bgColor rgb="FFFF6600"/>
      </patternFill>
    </fill>
    <fill>
      <patternFill patternType="solid">
        <fgColor rgb="FFF6B26B"/>
        <bgColor rgb="FFC9A227"/>
      </patternFill>
    </fill>
    <fill>
      <patternFill patternType="solid">
        <fgColor rgb="FF9FC5E8"/>
        <bgColor rgb="FFCCCCCC"/>
      </patternFill>
    </fill>
    <fill>
      <patternFill patternType="solid">
        <fgColor rgb="FF1F2A44"/>
        <bgColor rgb="FF222222"/>
      </patternFill>
    </fill>
    <fill>
      <patternFill patternType="solid">
        <fgColor rgb="FF990000"/>
        <bgColor rgb="FF800000"/>
      </patternFill>
    </fill>
    <fill>
      <patternFill patternType="solid">
        <fgColor rgb="FFF3F3F3"/>
        <bgColor rgb="FFF9F9F9"/>
      </patternFill>
    </fill>
    <fill>
      <patternFill patternType="solid">
        <fgColor rgb="FFC9A227"/>
        <bgColor rgb="FFF6B26B"/>
      </patternFill>
    </fill>
    <fill>
      <patternFill patternType="solid">
        <fgColor rgb="FF6AA84F"/>
        <bgColor rgb="FF878787"/>
      </patternFill>
    </fill>
    <fill>
      <patternFill patternType="solid">
        <fgColor rgb="FFFFF7DB"/>
        <bgColor rgb="FFFFF9E6"/>
      </patternFill>
    </fill>
    <fill>
      <patternFill patternType="solid">
        <fgColor rgb="FF3C4B6E"/>
        <bgColor rgb="FF333333"/>
      </patternFill>
    </fill>
    <fill>
      <patternFill patternType="solid">
        <fgColor rgb="FFFFF9E6"/>
        <bgColor rgb="FFFFF7DB"/>
      </patternFill>
    </fill>
    <fill>
      <patternFill patternType="solid">
        <fgColor rgb="FFD9D9D9"/>
        <bgColor rgb="FFCCCCCC"/>
      </patternFill>
    </fill>
  </fills>
  <borders count="3">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5" fontId="11" fillId="7" borderId="1" xfId="0" applyFont="true" applyBorder="true" applyAlignment="true" applyProtection="false">
      <alignment horizontal="center" vertical="center" textRotation="0" wrapText="false" indent="0" shrinkToFit="false"/>
      <protection locked="true" hidden="false"/>
    </xf>
    <xf numFmtId="165" fontId="12" fillId="7" borderId="1" xfId="0" applyFont="true" applyBorder="true" applyAlignment="true" applyProtection="false">
      <alignment horizontal="center" vertical="center" textRotation="0" wrapText="false" indent="0" shrinkToFit="false"/>
      <protection locked="true" hidden="false"/>
    </xf>
    <xf numFmtId="165" fontId="13" fillId="7" borderId="1" xfId="0" applyFont="true" applyBorder="true" applyAlignment="true" applyProtection="false">
      <alignment horizontal="center" vertical="center" textRotation="0" wrapText="false" indent="0" shrinkToFit="false"/>
      <protection locked="true" hidden="false"/>
    </xf>
    <xf numFmtId="165" fontId="14" fillId="7" borderId="1" xfId="0" applyFont="true" applyBorder="true" applyAlignment="true" applyProtection="false">
      <alignment horizontal="center" vertical="center" textRotation="0" wrapText="false" indent="0" shrinkToFit="false"/>
      <protection locked="true" hidden="false"/>
    </xf>
    <xf numFmtId="165" fontId="15" fillId="7" borderId="1" xfId="0" applyFont="true" applyBorder="true" applyAlignment="true" applyProtection="false">
      <alignment horizontal="center" vertical="center" textRotation="0" wrapText="false" indent="0" shrinkToFit="false"/>
      <protection locked="true" hidden="false"/>
    </xf>
    <xf numFmtId="164" fontId="10" fillId="8" borderId="1" xfId="0" applyFont="true" applyBorder="true" applyAlignment="true" applyProtection="false">
      <alignment horizontal="center" vertical="center" textRotation="0" wrapText="true" indent="0" shrinkToFit="false"/>
      <protection locked="true" hidden="false"/>
    </xf>
    <xf numFmtId="164" fontId="10" fillId="9" borderId="1" xfId="0" applyFont="true" applyBorder="true" applyAlignment="true" applyProtection="false">
      <alignment horizontal="center" vertical="center" textRotation="0" wrapText="true" indent="0" shrinkToFit="false"/>
      <protection locked="true" hidden="false"/>
    </xf>
    <xf numFmtId="166" fontId="14" fillId="7" borderId="1" xfId="0" applyFont="true" applyBorder="true" applyAlignment="true" applyProtection="false">
      <alignment horizontal="center" vertical="center" textRotation="0" wrapText="false" indent="0" shrinkToFit="false"/>
      <protection locked="true" hidden="false"/>
    </xf>
    <xf numFmtId="166" fontId="16" fillId="7" borderId="1" xfId="0" applyFont="true" applyBorder="true" applyAlignment="true" applyProtection="false">
      <alignment horizontal="center" vertical="center" textRotation="0" wrapText="false" indent="0" shrinkToFit="false"/>
      <protection locked="true" hidden="false"/>
    </xf>
    <xf numFmtId="167" fontId="17" fillId="7" borderId="1" xfId="0" applyFont="true" applyBorder="true" applyAlignment="true" applyProtection="false">
      <alignment horizontal="center" vertical="center" textRotation="0" wrapText="false" indent="0" shrinkToFit="false"/>
      <protection locked="true" hidden="false"/>
    </xf>
    <xf numFmtId="168" fontId="18" fillId="7" borderId="1" xfId="0" applyFont="true" applyBorder="true" applyAlignment="true" applyProtection="false">
      <alignment horizontal="center" vertical="center" textRotation="0" wrapText="false" indent="0" shrinkToFit="false"/>
      <protection locked="true" hidden="false"/>
    </xf>
    <xf numFmtId="164" fontId="19" fillId="5" borderId="0" xfId="0" applyFont="true" applyBorder="true" applyAlignment="true" applyProtection="false">
      <alignment horizontal="left" vertical="center" textRotation="0" wrapText="false" indent="1" shrinkToFit="false"/>
      <protection locked="true" hidden="false"/>
    </xf>
    <xf numFmtId="164" fontId="20" fillId="10" borderId="1" xfId="0" applyFont="true" applyBorder="true" applyAlignment="true" applyProtection="false">
      <alignment horizontal="left" vertical="top" textRotation="0" wrapText="true" indent="0" shrinkToFit="false"/>
      <protection locked="true" hidden="false"/>
    </xf>
    <xf numFmtId="164" fontId="21" fillId="5" borderId="0" xfId="0" applyFont="true" applyBorder="true" applyAlignment="true" applyProtection="false">
      <alignment horizontal="general" vertical="bottom" textRotation="0" wrapText="false" indent="0" shrinkToFit="false"/>
      <protection locked="true" hidden="false"/>
    </xf>
    <xf numFmtId="164" fontId="10" fillId="11" borderId="0" xfId="0" applyFont="true" applyBorder="false" applyAlignment="true" applyProtection="false">
      <alignment horizontal="center" vertical="bottom" textRotation="0" wrapText="false" indent="0" shrinkToFit="false"/>
      <protection locked="true" hidden="false"/>
    </xf>
    <xf numFmtId="164" fontId="10" fillId="11" borderId="0" xfId="0" applyFont="true" applyBorder="true" applyAlignment="true" applyProtection="false">
      <alignment horizontal="center" vertical="bottom" textRotation="0" wrapText="false" indent="0" shrinkToFit="false"/>
      <protection locked="true" hidden="false"/>
    </xf>
    <xf numFmtId="164" fontId="22" fillId="0" borderId="1" xfId="0" applyFont="true" applyBorder="true" applyAlignment="true" applyProtection="false">
      <alignment horizontal="general" vertical="center" textRotation="0" wrapText="false" indent="0" shrinkToFit="false"/>
      <protection locked="true" hidden="false"/>
    </xf>
    <xf numFmtId="164" fontId="22" fillId="0" borderId="1" xfId="0" applyFont="true" applyBorder="true" applyAlignment="true" applyProtection="false">
      <alignment horizontal="general" vertical="center" textRotation="0" wrapText="true" indent="0" shrinkToFit="false"/>
      <protection locked="true" hidden="false"/>
    </xf>
    <xf numFmtId="164" fontId="10" fillId="5" borderId="2" xfId="0" applyFont="true" applyBorder="true" applyAlignment="true" applyProtection="false">
      <alignment horizontal="center" vertical="center" textRotation="0" wrapText="true" indent="0" shrinkToFit="false"/>
      <protection locked="true" hidden="false"/>
    </xf>
    <xf numFmtId="164" fontId="10" fillId="5" borderId="0" xfId="0" applyFont="true" applyBorder="false" applyAlignment="true" applyProtection="false">
      <alignment horizontal="general" vertical="bottom" textRotation="0" wrapText="false" indent="0" shrinkToFit="false"/>
      <protection locked="true" hidden="false"/>
    </xf>
    <xf numFmtId="164" fontId="22" fillId="0" borderId="2" xfId="0" applyFont="true" applyBorder="true" applyAlignment="true" applyProtection="false">
      <alignment horizontal="general" vertical="center" textRotation="0" wrapText="false" indent="0" shrinkToFit="false"/>
      <protection locked="true" hidden="false"/>
    </xf>
    <xf numFmtId="169" fontId="22" fillId="0" borderId="2" xfId="0" applyFont="true" applyBorder="true" applyAlignment="true" applyProtection="false">
      <alignment horizontal="general" vertical="center" textRotation="0" wrapText="false" indent="0" shrinkToFit="false"/>
      <protection locked="true" hidden="false"/>
    </xf>
    <xf numFmtId="164" fontId="22" fillId="0" borderId="2" xfId="0" applyFont="true" applyBorder="true" applyAlignment="true" applyProtection="false">
      <alignment horizontal="general" vertical="center" textRotation="0" wrapText="true" indent="0" shrinkToFit="false"/>
      <protection locked="true" hidden="false"/>
    </xf>
    <xf numFmtId="166" fontId="22" fillId="0" borderId="2" xfId="0" applyFont="true" applyBorder="true" applyAlignment="true" applyProtection="false">
      <alignment horizontal="general" vertical="center" textRotation="0" wrapText="false" indent="0" shrinkToFit="false"/>
      <protection locked="true" hidden="false"/>
    </xf>
    <xf numFmtId="167" fontId="22" fillId="0" borderId="2" xfId="0" applyFont="true" applyBorder="true" applyAlignment="true" applyProtection="false">
      <alignment horizontal="general" vertical="center"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22" fillId="12" borderId="2" xfId="0" applyFont="true" applyBorder="true" applyAlignment="true" applyProtection="false">
      <alignment horizontal="general" vertical="center" textRotation="0" wrapText="false" indent="0" shrinkToFit="false"/>
      <protection locked="true" hidden="false"/>
    </xf>
    <xf numFmtId="164" fontId="22" fillId="12" borderId="2" xfId="0" applyFont="true" applyBorder="true" applyAlignment="true" applyProtection="false">
      <alignment horizontal="general" vertical="center" textRotation="0" wrapText="true" indent="0" shrinkToFit="false"/>
      <protection locked="true" hidden="false"/>
    </xf>
    <xf numFmtId="166" fontId="22" fillId="12" borderId="2" xfId="0" applyFont="true" applyBorder="true" applyAlignment="true" applyProtection="false">
      <alignment horizontal="general" vertical="center"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8" fillId="5" borderId="0" xfId="0" applyFont="true" applyBorder="false" applyAlignment="true" applyProtection="false">
      <alignment horizontal="center" vertical="center" textRotation="0" wrapText="true" indent="0" shrinkToFit="false"/>
      <protection locked="true" hidden="false"/>
    </xf>
    <xf numFmtId="164" fontId="28" fillId="5" borderId="0" xfId="0" applyFont="true" applyBorder="true" applyAlignment="true" applyProtection="false">
      <alignment horizontal="center" vertical="center" textRotation="0" wrapText="true" indent="0" shrinkToFit="false"/>
      <protection locked="true" hidden="false"/>
    </xf>
    <xf numFmtId="164" fontId="0" fillId="0" borderId="2" xfId="0" applyFont="true" applyBorder="true" applyAlignment="true" applyProtection="false">
      <alignment horizontal="general" vertical="bottom" textRotation="0" wrapText="false" indent="0" shrinkToFit="false"/>
      <protection locked="true" hidden="false"/>
    </xf>
    <xf numFmtId="167" fontId="0" fillId="0" borderId="2" xfId="0" applyFont="false" applyBorder="tru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28" fillId="2"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8" fillId="3" borderId="0" xfId="0" applyFont="true" applyBorder="false" applyAlignment="false" applyProtection="false">
      <alignment horizontal="general" vertical="bottom" textRotation="0" wrapText="false" indent="0" shrinkToFit="false"/>
      <protection locked="true" hidden="false"/>
    </xf>
    <xf numFmtId="164" fontId="28" fillId="4" borderId="0" xfId="0" applyFont="true" applyBorder="false" applyAlignment="false" applyProtection="false">
      <alignment horizontal="general" vertical="bottom" textRotation="0" wrapText="false" indent="0" shrinkToFit="false"/>
      <protection locked="true" hidden="false"/>
    </xf>
    <xf numFmtId="164" fontId="28" fillId="1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Arial"/>
        <charset val="1"/>
        <family val="0"/>
        <b val="1"/>
        <color rgb="FFFFFFFF"/>
      </font>
      <fill>
        <patternFill>
          <bgColor rgb="FFE06666"/>
        </patternFill>
      </fill>
    </dxf>
    <dxf>
      <font>
        <name val="Arial"/>
        <charset val="1"/>
        <family val="0"/>
        <b val="1"/>
      </font>
      <fill>
        <patternFill>
          <bgColor rgb="FFF6B26B"/>
        </patternFill>
      </fill>
    </dxf>
    <dxf>
      <font>
        <name val="Arial"/>
        <charset val="1"/>
        <family val="0"/>
        <b val="1"/>
      </font>
      <fill>
        <patternFill>
          <bgColor rgb="FF9FC5E8"/>
        </patternFill>
      </fill>
    </dxf>
    <dxf>
      <font>
        <name val="Arial"/>
        <charset val="1"/>
        <family val="0"/>
        <color rgb="FF666666"/>
      </font>
      <fill>
        <patternFill>
          <bgColor rgb="FFD9D9D9"/>
        </patternFill>
      </fill>
    </dxf>
  </dxfs>
  <colors>
    <indexedColors>
      <rgbColor rgb="FF000000"/>
      <rgbColor rgb="FFFFFFFF"/>
      <rgbColor rgb="FFFF0000"/>
      <rgbColor rgb="FF00FF00"/>
      <rgbColor rgb="FF0000FF"/>
      <rgbColor rgb="FFFFFF00"/>
      <rgbColor rgb="FFFF00FF"/>
      <rgbColor rgb="FF00FFFF"/>
      <rgbColor rgb="FF990000"/>
      <rgbColor rgb="FF008000"/>
      <rgbColor rgb="FF000080"/>
      <rgbColor rgb="FF808000"/>
      <rgbColor rgb="FF800080"/>
      <rgbColor rgb="FF008080"/>
      <rgbColor rgb="FFCCCCCC"/>
      <rgbColor rgb="FF878787"/>
      <rgbColor rgb="FF9999FF"/>
      <rgbColor rgb="FF993366"/>
      <rgbColor rgb="FFFFF7DB"/>
      <rgbColor rgb="FFF3F3F3"/>
      <rgbColor rgb="FF660066"/>
      <rgbColor rgb="FFE06666"/>
      <rgbColor rgb="FF0066CC"/>
      <rgbColor rgb="FFD9D9D9"/>
      <rgbColor rgb="FF000080"/>
      <rgbColor rgb="FFFF00FF"/>
      <rgbColor rgb="FFFFFF00"/>
      <rgbColor rgb="FF00FFFF"/>
      <rgbColor rgb="FF800080"/>
      <rgbColor rgb="FF800000"/>
      <rgbColor rgb="FF008080"/>
      <rgbColor rgb="FF0000FF"/>
      <rgbColor rgb="FF00CCFF"/>
      <rgbColor rgb="FFF9F9F9"/>
      <rgbColor rgb="FFCCFFCC"/>
      <rgbColor rgb="FFFFF9E6"/>
      <rgbColor rgb="FF9FC5E8"/>
      <rgbColor rgb="FFFF99CC"/>
      <rgbColor rgb="FFCC99FF"/>
      <rgbColor rgb="FFF6B26B"/>
      <rgbColor rgb="FF4F81BD"/>
      <rgbColor rgb="FF33CCCC"/>
      <rgbColor rgb="FF99CC00"/>
      <rgbColor rgb="FFFFCC00"/>
      <rgbColor rgb="FFC9A227"/>
      <rgbColor rgb="FFFF6600"/>
      <rgbColor rgb="FF666666"/>
      <rgbColor rgb="FF969696"/>
      <rgbColor rgb="FF1F2A44"/>
      <rgbColor rgb="FF6AA84F"/>
      <rgbColor rgb="FF003300"/>
      <rgbColor rgb="FF222222"/>
      <rgbColor rgb="FF993300"/>
      <rgbColor rgb="FF993366"/>
      <rgbColor rgb="FF3C4B6E"/>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Leads by Temperature</a:t>
            </a:r>
          </a:p>
        </c:rich>
      </c:tx>
      <c:overlay val="0"/>
      <c:spPr>
        <a:noFill/>
        <a:ln w="0">
          <a:noFill/>
        </a:ln>
      </c:spPr>
    </c:title>
    <c:autoTitleDeleted val="0"/>
    <c:plotArea>
      <c:barChart>
        <c:barDir val="col"/>
        <c:grouping val="clustered"/>
        <c:varyColors val="0"/>
        <c:ser>
          <c:idx val="0"/>
          <c:order val="0"/>
          <c:tx>
            <c:strRef>
              <c:f>Dashboard!J4</c:f>
              <c:strCache>
                <c:ptCount val="1"/>
                <c:pt idx="0">
                  <c:v>Count</c:v>
                </c:pt>
              </c:strCache>
            </c:strRef>
          </c:tx>
          <c:spPr>
            <a:solidFill>
              <a:srgbClr val="4f81bd"/>
            </a:solidFill>
            <a:ln w="9360">
              <a:solidFill>
                <a:srgbClr val="f9f9f9"/>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Dashboard!$I$5:$I$7</c:f>
              <c:strCache>
                <c:ptCount val="3"/>
                <c:pt idx="0">
                  <c:v>Hot</c:v>
                </c:pt>
                <c:pt idx="1">
                  <c:v>Warm</c:v>
                </c:pt>
                <c:pt idx="2">
                  <c:v>Cold</c:v>
                </c:pt>
              </c:strCache>
            </c:strRef>
          </c:cat>
          <c:val>
            <c:numRef>
              <c:f>Dashboard!$J$5:$J$7</c:f>
              <c:numCache>
                <c:formatCode>General</c:formatCode>
                <c:ptCount val="3"/>
                <c:pt idx="0">
                  <c:v>4</c:v>
                </c:pt>
                <c:pt idx="1">
                  <c:v>2</c:v>
                </c:pt>
                <c:pt idx="2">
                  <c:v>2</c:v>
                </c:pt>
              </c:numCache>
            </c:numRef>
          </c:val>
        </c:ser>
        <c:gapWidth val="150"/>
        <c:overlap val="0"/>
        <c:axId val="92478881"/>
        <c:axId val="8105555"/>
      </c:barChart>
      <c:catAx>
        <c:axId val="92478881"/>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05555"/>
        <c:crosses val="autoZero"/>
        <c:auto val="1"/>
        <c:lblAlgn val="ctr"/>
        <c:lblOffset val="100"/>
        <c:noMultiLvlLbl val="0"/>
      </c:catAx>
      <c:valAx>
        <c:axId val="810555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Leads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47888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Pipeline by Stage</a:t>
            </a:r>
          </a:p>
        </c:rich>
      </c:tx>
      <c:overlay val="0"/>
      <c:spPr>
        <a:noFill/>
        <a:ln w="0">
          <a:noFill/>
        </a:ln>
      </c:spPr>
    </c:title>
    <c:autoTitleDeleted val="0"/>
    <c:plotArea>
      <c:barChart>
        <c:barDir val="bar"/>
        <c:grouping val="clustered"/>
        <c:varyColors val="0"/>
        <c:ser>
          <c:idx val="0"/>
          <c:order val="0"/>
          <c:tx>
            <c:strRef>
              <c:f>Dashboard!J9</c:f>
              <c:strCache>
                <c:ptCount val="1"/>
                <c:pt idx="0">
                  <c:v>Count</c:v>
                </c:pt>
              </c:strCache>
            </c:strRef>
          </c:tx>
          <c:spPr>
            <a:solidFill>
              <a:srgbClr val="4f81bd"/>
            </a:solidFill>
            <a:ln w="9360">
              <a:solidFill>
                <a:srgbClr val="f9f9f9"/>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Dashboard!$I$10:$I$16</c:f>
              <c:strCache>
                <c:ptCount val="7"/>
                <c:pt idx="0">
                  <c:v>New Inquiry</c:v>
                </c:pt>
                <c:pt idx="1">
                  <c:v>Contacted</c:v>
                </c:pt>
                <c:pt idx="2">
                  <c:v>Qualified</c:v>
                </c:pt>
                <c:pt idx="3">
                  <c:v>Appointment Booked</c:v>
                </c:pt>
                <c:pt idx="4">
                  <c:v>Trial Completed</c:v>
                </c:pt>
                <c:pt idx="5">
                  <c:v>Enrolled</c:v>
                </c:pt>
                <c:pt idx="6">
                  <c:v>Lost</c:v>
                </c:pt>
              </c:strCache>
            </c:strRef>
          </c:cat>
          <c:val>
            <c:numRef>
              <c:f>Dashboard!$J$10:$J$16</c:f>
              <c:numCache>
                <c:formatCode>General</c:formatCode>
                <c:ptCount val="7"/>
                <c:pt idx="0">
                  <c:v>2</c:v>
                </c:pt>
                <c:pt idx="1">
                  <c:v>2</c:v>
                </c:pt>
                <c:pt idx="2">
                  <c:v>2</c:v>
                </c:pt>
                <c:pt idx="3">
                  <c:v>2</c:v>
                </c:pt>
                <c:pt idx="4">
                  <c:v>0</c:v>
                </c:pt>
                <c:pt idx="5">
                  <c:v>1</c:v>
                </c:pt>
                <c:pt idx="6">
                  <c:v>1</c:v>
                </c:pt>
              </c:numCache>
            </c:numRef>
          </c:val>
        </c:ser>
        <c:gapWidth val="150"/>
        <c:overlap val="0"/>
        <c:axId val="88451220"/>
        <c:axId val="96670153"/>
      </c:barChart>
      <c:catAx>
        <c:axId val="88451220"/>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670153"/>
        <c:crosses val="autoZero"/>
        <c:auto val="1"/>
        <c:lblAlgn val="ctr"/>
        <c:lblOffset val="100"/>
        <c:noMultiLvlLbl val="0"/>
      </c:catAx>
      <c:valAx>
        <c:axId val="96670153"/>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Leads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845122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29</xdr:row>
      <xdr:rowOff>0</xdr:rowOff>
    </xdr:from>
    <xdr:to>
      <xdr:col>3</xdr:col>
      <xdr:colOff>777960</xdr:colOff>
      <xdr:row>42</xdr:row>
      <xdr:rowOff>41040</xdr:rowOff>
    </xdr:to>
    <xdr:graphicFrame>
      <xdr:nvGraphicFramePr>
        <xdr:cNvPr id="0" name="Chart 1"/>
        <xdr:cNvGraphicFramePr/>
      </xdr:nvGraphicFramePr>
      <xdr:xfrm>
        <a:off x="211320" y="7162920"/>
        <a:ext cx="3597480" cy="2517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29</xdr:row>
      <xdr:rowOff>0</xdr:rowOff>
    </xdr:from>
    <xdr:to>
      <xdr:col>5</xdr:col>
      <xdr:colOff>777960</xdr:colOff>
      <xdr:row>42</xdr:row>
      <xdr:rowOff>41040</xdr:rowOff>
    </xdr:to>
    <xdr:graphicFrame>
      <xdr:nvGraphicFramePr>
        <xdr:cNvPr id="1" name="Chart 2"/>
        <xdr:cNvGraphicFramePr/>
      </xdr:nvGraphicFramePr>
      <xdr:xfrm>
        <a:off x="3030840" y="7162920"/>
        <a:ext cx="3597480" cy="25174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00"/>
  </cols>
  <sheetData>
    <row r="2" customFormat="false" ht="28.5" hidden="false" customHeight="true" outlineLevel="0" collapsed="false">
      <c r="B2" s="2" t="s">
        <v>0</v>
      </c>
    </row>
    <row r="3" customFormat="false" ht="15.75" hidden="false" customHeight="true" outlineLevel="0" collapsed="false">
      <c r="B3" s="3" t="s">
        <v>1</v>
      </c>
    </row>
    <row r="5" customFormat="false" ht="15" hidden="false" customHeight="true" outlineLevel="0" collapsed="false">
      <c r="B5" s="4" t="s">
        <v>2</v>
      </c>
    </row>
    <row r="6" customFormat="false" ht="30" hidden="false" customHeight="true" outlineLevel="0" collapsed="false">
      <c r="B6" s="5" t="s">
        <v>3</v>
      </c>
    </row>
    <row r="7" customFormat="false" ht="6" hidden="false" customHeight="true" outlineLevel="0" collapsed="false">
      <c r="B7" s="5"/>
    </row>
    <row r="8" customFormat="false" ht="15" hidden="false" customHeight="true" outlineLevel="0" collapsed="false">
      <c r="B8" s="4" t="s">
        <v>4</v>
      </c>
    </row>
    <row r="9" customFormat="false" ht="30" hidden="false" customHeight="true" outlineLevel="0" collapsed="false">
      <c r="B9" s="5" t="s">
        <v>5</v>
      </c>
    </row>
    <row r="10" customFormat="false" ht="6" hidden="false" customHeight="true" outlineLevel="0" collapsed="false">
      <c r="B10" s="5"/>
    </row>
    <row r="11" customFormat="false" ht="15" hidden="false" customHeight="true" outlineLevel="0" collapsed="false">
      <c r="B11" s="4" t="s">
        <v>6</v>
      </c>
    </row>
    <row r="12" customFormat="false" ht="30" hidden="false" customHeight="true" outlineLevel="0" collapsed="false">
      <c r="B12" s="5" t="s">
        <v>7</v>
      </c>
    </row>
    <row r="13" customFormat="false" ht="6" hidden="false" customHeight="true" outlineLevel="0" collapsed="false">
      <c r="B13" s="5"/>
    </row>
    <row r="14" customFormat="false" ht="15" hidden="false" customHeight="true" outlineLevel="0" collapsed="false">
      <c r="B14" s="4" t="s">
        <v>8</v>
      </c>
    </row>
    <row r="15" customFormat="false" ht="30" hidden="false" customHeight="true" outlineLevel="0" collapsed="false">
      <c r="B15" s="5" t="s">
        <v>9</v>
      </c>
    </row>
    <row r="16" customFormat="false" ht="6" hidden="false" customHeight="true" outlineLevel="0" collapsed="false">
      <c r="B16" s="5"/>
    </row>
    <row r="17" customFormat="false" ht="15" hidden="false" customHeight="true" outlineLevel="0" collapsed="false">
      <c r="B17" s="4" t="s">
        <v>10</v>
      </c>
    </row>
    <row r="18" customFormat="false" ht="30" hidden="false" customHeight="true" outlineLevel="0" collapsed="false">
      <c r="B18" s="5" t="s">
        <v>11</v>
      </c>
    </row>
    <row r="19" customFormat="false" ht="6" hidden="false" customHeight="true" outlineLevel="0" collapsed="false">
      <c r="B19" s="5"/>
    </row>
    <row r="20" customFormat="false" ht="15" hidden="false" customHeight="true" outlineLevel="0" collapsed="false">
      <c r="B20" s="4" t="s">
        <v>12</v>
      </c>
    </row>
    <row r="21" customFormat="false" ht="30" hidden="false" customHeight="true" outlineLevel="0" collapsed="false">
      <c r="B21" s="5"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Z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6" min="2" style="1" width="20"/>
    <col collapsed="false" customWidth="true" hidden="false" outlineLevel="0" max="7" min="7" style="1" width="3"/>
    <col collapsed="false" customWidth="true" hidden="false" outlineLevel="0" max="10" min="9" style="1" width="18"/>
  </cols>
  <sheetData>
    <row r="1" customFormat="false" ht="15" hidden="false" customHeight="true" outlineLevel="0" collapsed="false">
      <c r="Z1" s="1"/>
    </row>
    <row r="2" customFormat="false" ht="30" hidden="false" customHeight="true" outlineLevel="0" collapsed="false">
      <c r="B2" s="6" t="s">
        <v>14</v>
      </c>
      <c r="C2" s="6"/>
      <c r="D2" s="6"/>
      <c r="E2" s="6"/>
      <c r="F2" s="6"/>
      <c r="Z2" s="1"/>
    </row>
    <row r="3" customFormat="false" ht="15" hidden="false" customHeight="true" outlineLevel="0" collapsed="false">
      <c r="B3" s="7" t="str">
        <f aca="true">"Good morning! Here is where your business stands as of "&amp;TEXT(TODAY(),"dddd, mmmm d, yyyy")</f>
        <v>Good morning! Here is where your business stands as of Saturday, August 8, 2026</v>
      </c>
      <c r="C3" s="7"/>
      <c r="D3" s="7"/>
      <c r="E3" s="7"/>
      <c r="F3" s="7"/>
      <c r="Z3" s="1"/>
    </row>
    <row r="4" customFormat="false" ht="15" hidden="false" customHeight="true" outlineLevel="0" collapsed="false">
      <c r="I4" s="1" t="s">
        <v>15</v>
      </c>
      <c r="J4" s="1" t="s">
        <v>16</v>
      </c>
      <c r="Z4" s="1"/>
    </row>
    <row r="5" customFormat="false" ht="25.5" hidden="false" customHeight="true" outlineLevel="0" collapsed="false">
      <c r="B5" s="8" t="s">
        <v>17</v>
      </c>
      <c r="C5" s="9" t="s">
        <v>18</v>
      </c>
      <c r="D5" s="10" t="s">
        <v>19</v>
      </c>
      <c r="E5" s="11" t="s">
        <v>20</v>
      </c>
      <c r="F5" s="12" t="s">
        <v>21</v>
      </c>
      <c r="I5" s="1" t="s">
        <v>22</v>
      </c>
      <c r="J5" s="1" t="n">
        <f aca="false">COUNTIF(Leads!$R$2:$R$101,"Hot")</f>
        <v>4</v>
      </c>
      <c r="Z5" s="1"/>
    </row>
    <row r="6" customFormat="false" ht="39.75" hidden="false" customHeight="true" outlineLevel="0" collapsed="false">
      <c r="B6" s="13" t="n">
        <f aca="false">COUNTIF(Leads!R2:R101,"Hot")</f>
        <v>4</v>
      </c>
      <c r="C6" s="14" t="n">
        <f aca="false">COUNTIF(Leads!R2:R101,"Warm")</f>
        <v>2</v>
      </c>
      <c r="D6" s="15" t="n">
        <f aca="false">COUNTIF(Leads!R2:R101,"Cold")</f>
        <v>2</v>
      </c>
      <c r="E6" s="16" t="n">
        <f aca="false">COUNTIF(Leads!Q2:Q101,"Due Today")</f>
        <v>3</v>
      </c>
      <c r="F6" s="17" t="n">
        <f aca="false">COUNTIF(Leads!Q2:Q101,"Overdue")</f>
        <v>2</v>
      </c>
      <c r="I6" s="1" t="s">
        <v>23</v>
      </c>
      <c r="J6" s="1" t="n">
        <f aca="false">COUNTIF(Leads!$R$2:$R$101,"Warm")</f>
        <v>2</v>
      </c>
      <c r="Z6" s="1"/>
    </row>
    <row r="7" customFormat="false" ht="15" hidden="false" customHeight="true" outlineLevel="0" collapsed="false">
      <c r="I7" s="1" t="s">
        <v>24</v>
      </c>
      <c r="J7" s="1" t="n">
        <f aca="false">COUNTIF(Leads!$R$2:$R$101,"Cold")</f>
        <v>2</v>
      </c>
      <c r="Z7" s="1"/>
    </row>
    <row r="8" customFormat="false" ht="25.5" hidden="false" customHeight="true" outlineLevel="0" collapsed="false">
      <c r="B8" s="11" t="s">
        <v>25</v>
      </c>
      <c r="C8" s="18" t="s">
        <v>26</v>
      </c>
      <c r="D8" s="19" t="s">
        <v>27</v>
      </c>
      <c r="E8" s="11" t="s">
        <v>28</v>
      </c>
      <c r="F8" s="19" t="s">
        <v>29</v>
      </c>
      <c r="Z8" s="1"/>
    </row>
    <row r="9" customFormat="false" ht="39.75" hidden="false" customHeight="true" outlineLevel="0" collapsed="false">
      <c r="B9" s="20" t="n">
        <f aca="false">SUMIFS(Leads!N2:N101,Leads!I2:I101,"&lt;&gt;Enrolled",Leads!I2:I101,"&lt;&gt;Lost")</f>
        <v>4980</v>
      </c>
      <c r="C9" s="21" t="n">
        <f aca="false">SUMPRODUCT(Leads!N2:N101,Leads!S2:S101)</f>
        <v>3100</v>
      </c>
      <c r="D9" s="22" t="n">
        <f aca="false">IFERROR(COUNTIF(Leads!I2:I101,"Enrolled")/COUNTIFS(Leads!I2:I101,"&lt;&gt;New Inquiry",Leads!C2:C101,"&lt;&gt;"),0)</f>
        <v>0.125</v>
      </c>
      <c r="E9" s="16" t="n">
        <f aca="true">COUNTIFS(Leads!B2:B101,"&gt;="&amp;(TODAY()-7))</f>
        <v>5</v>
      </c>
      <c r="F9" s="23" t="str">
        <f aca="false">IF(COUNTIF(Leads!C2:C101,"&lt;&gt;")=0,"No Data",IF(AND(COUNTIF(Leads!Q2:Q101,"Overdue")=0,COUNTIF(Leads!R2:R101,"Hot")&gt;=3),"Excellent",IF(AND(COUNTIF(Leads!Q2:Q101,"Overdue")&lt;=2,COUNTIF(Leads!R2:R101,"Hot")&gt;=1),"Good",IF(COUNTIF(Leads!Q2:Q101,"Overdue")&gt;3,"Needs Attention","Fair"))))</f>
        <v>Good</v>
      </c>
      <c r="I9" s="1" t="s">
        <v>30</v>
      </c>
      <c r="J9" s="1" t="s">
        <v>16</v>
      </c>
    </row>
    <row r="10" customFormat="false" ht="15" hidden="false" customHeight="true" outlineLevel="0" collapsed="false">
      <c r="I10" s="1" t="s">
        <v>31</v>
      </c>
      <c r="J10" s="1" t="n">
        <f aca="false">COUNTIF(Leads!$I$2:$I$101,"New Inquiry")</f>
        <v>2</v>
      </c>
    </row>
    <row r="11" customFormat="false" ht="15" hidden="false" customHeight="true" outlineLevel="0" collapsed="false">
      <c r="I11" s="1" t="s">
        <v>32</v>
      </c>
      <c r="J11" s="1" t="n">
        <f aca="false">COUNTIF(Leads!$I$2:$I$101,"Contacted")</f>
        <v>2</v>
      </c>
    </row>
    <row r="12" customFormat="false" ht="25.5" hidden="false" customHeight="true" outlineLevel="0" collapsed="false">
      <c r="B12" s="24" t="s">
        <v>33</v>
      </c>
      <c r="C12" s="24"/>
      <c r="D12" s="24"/>
      <c r="E12" s="24"/>
      <c r="F12" s="24"/>
      <c r="I12" s="1" t="s">
        <v>34</v>
      </c>
      <c r="J12" s="1" t="n">
        <f aca="false">COUNTIF(Leads!$I$2:$I$101,"Qualified")</f>
        <v>2</v>
      </c>
    </row>
    <row r="13" customFormat="false" ht="15" hidden="false" customHeight="true" outlineLevel="0" collapsed="false">
      <c r="B13" s="25" t="str">
        <f aca="false">IF(COUNTIF(Leads!R2:R101,"Hot")=0,"No hot leads right now. Focus on moving your Warm leads forward with a personal follow-up today.",IF(COUNTIF(Leads!R2:R101,"Hot")=1,"You have 1 Hot Lead: "&amp;INDEX(Leads!C2:C101,MATCH(LARGE(Leads!U2:U101,1),Leads!U2:U101,0))&amp;" — worth about "&amp;TEXT(INDEX(Leads!N2:N101,MATCH(LARGE(Leads!U2:U101,1),Leads!U2:U101,0)),"$#,##0")&amp;". Contact them first today.","You have "&amp;COUNTIF(Leads!R2:R101,"Hot")&amp;" Hot Leads. Contact these 2 first — they represent your highest revenue opportunity today:"&amp;CHAR(10)&amp;"1. "&amp;INDEX(Leads!C2:C101,MATCH(LARGE(Leads!U2:U101,1),Leads!U2:U101,0))&amp;" ("&amp;TEXT(INDEX(Leads!N2:N101,MATCH(LARGE(Leads!U2:U101,1),Leads!U2:U101,0)),"$#,##0")&amp;") — "&amp;INDEX(Leads!T2:T101,MATCH(LARGE(Leads!U2:U101,1),Leads!U2:U101,0))&amp;CHAR(10)&amp;"2. "&amp;INDEX(Leads!C2:C101,MATCH(LARGE(Leads!U2:U101,2),Leads!U2:U101,0))&amp;" ("&amp;TEXT(INDEX(Leads!N2:N101,MATCH(LARGE(Leads!U2:U101,2),Leads!U2:U101,0)),"$#,##0")&amp;") — "&amp;INDEX(Leads!T2:T101,MATCH(LARGE(Leads!U2:U101,2),Leads!U2:U101,0))&amp;CHAR(10)&amp;CHAR(10)&amp;"Together they represent "&amp;TEXT(INDEX(Leads!N2:N101,MATCH(LARGE(Leads!U2:U101,1),Leads!U2:U101,0))+INDEX(Leads!N2:N101,MATCH(LARGE(Leads!U2:U101,2),Leads!U2:U101,0)),"$#,##0")&amp;" in potential revenue."))</f>
        <v>You have 4 Hot Leads. Contact these 2 first — they represent your highest revenue opportunity today:
1. Carlos Vega ($1,400) — Priority call/text Carlos Vega — high interest, $1,400 opportunity
2. Emily &amp; Josh Turner ($950) — Priority call/text Emily &amp; Josh Turner — high interest, $950 opportunity
Together they represent $2,350 in potential revenue.</v>
      </c>
      <c r="C13" s="25"/>
      <c r="D13" s="25"/>
      <c r="E13" s="25"/>
      <c r="F13" s="25"/>
      <c r="I13" s="1" t="s">
        <v>35</v>
      </c>
      <c r="J13" s="1" t="n">
        <f aca="false">COUNTIF(Leads!$I$2:$I$101,"Appointment Booked")</f>
        <v>2</v>
      </c>
    </row>
    <row r="14" customFormat="false" ht="15" hidden="false" customHeight="true" outlineLevel="0" collapsed="false">
      <c r="B14" s="25"/>
      <c r="C14" s="25"/>
      <c r="D14" s="25"/>
      <c r="E14" s="25"/>
      <c r="F14" s="25"/>
      <c r="I14" s="1" t="s">
        <v>36</v>
      </c>
      <c r="J14" s="1" t="n">
        <f aca="false">COUNTIF(Leads!$I$2:$I$101,"Trial Completed")</f>
        <v>0</v>
      </c>
    </row>
    <row r="15" customFormat="false" ht="15" hidden="false" customHeight="true" outlineLevel="0" collapsed="false">
      <c r="B15" s="25"/>
      <c r="C15" s="25"/>
      <c r="D15" s="25"/>
      <c r="E15" s="25"/>
      <c r="F15" s="25"/>
      <c r="I15" s="1" t="s">
        <v>37</v>
      </c>
      <c r="J15" s="1" t="n">
        <f aca="false">COUNTIF(Leads!$I$2:$I$101,"Enrolled")</f>
        <v>1</v>
      </c>
    </row>
    <row r="16" customFormat="false" ht="15" hidden="false" customHeight="true" outlineLevel="0" collapsed="false">
      <c r="B16" s="25"/>
      <c r="C16" s="25"/>
      <c r="D16" s="25"/>
      <c r="E16" s="25"/>
      <c r="F16" s="25"/>
      <c r="I16" s="1" t="s">
        <v>38</v>
      </c>
      <c r="J16" s="1" t="n">
        <f aca="false">COUNTIF(Leads!$I$2:$I$101,"Lost")</f>
        <v>1</v>
      </c>
    </row>
    <row r="17" customFormat="false" ht="15" hidden="false" customHeight="true" outlineLevel="0" collapsed="false">
      <c r="B17" s="25"/>
      <c r="C17" s="25"/>
      <c r="D17" s="25"/>
      <c r="E17" s="25"/>
      <c r="F17" s="25"/>
    </row>
    <row r="19" customFormat="false" ht="24" hidden="false" customHeight="true" outlineLevel="0" collapsed="false">
      <c r="B19" s="26" t="s">
        <v>39</v>
      </c>
      <c r="C19" s="26"/>
      <c r="D19" s="26"/>
      <c r="E19" s="26"/>
      <c r="F19" s="26"/>
    </row>
    <row r="20" customFormat="false" ht="15" hidden="false" customHeight="true" outlineLevel="0" collapsed="false">
      <c r="B20" s="27" t="s">
        <v>40</v>
      </c>
      <c r="C20" s="27" t="s">
        <v>30</v>
      </c>
      <c r="D20" s="27" t="s">
        <v>41</v>
      </c>
      <c r="E20" s="28" t="s">
        <v>42</v>
      </c>
      <c r="F20" s="28"/>
    </row>
    <row r="21" customFormat="false" ht="18" hidden="false" customHeight="true" outlineLevel="0" collapsed="false">
      <c r="B21" s="29" t="str">
        <f aca="false">IF(COUNTIF(Leads!$V$2:$V$101,"&gt;0")&lt;1,"",IFERROR(INDEX(Leads!$C$2:$C$101,MATCH(LARGE(Leads!$V$2:$V$101,1),Leads!$V$2:$V$101,0)),""))</f>
        <v>Priya Nair</v>
      </c>
      <c r="C21" s="29" t="str">
        <f aca="false">IF($B21="","",INDEX(Leads!$I$2:$I$101,MATCH(LARGE(Leads!$V$2:$V$101,1),Leads!$V$2:$V$101,0)))</f>
        <v>New Inquiry</v>
      </c>
      <c r="D21" s="29" t="str">
        <f aca="false">IF($B21="","",INDEX(Leads!$Q$2:$Q$101,MATCH(LARGE(Leads!$V$2:$V$101,1),Leads!$V$2:$V$101,0)))</f>
        <v>Overdue</v>
      </c>
      <c r="E21" s="30" t="str">
        <f aca="false">IF($B21="","",INDEX(Leads!$T$2:$T$101,MATCH(LARGE(Leads!$V$2:$V$101,1),Leads!$V$2:$V$101,0)))</f>
        <v>OVERDUE — contact Priya Nair today, follow-up was due 8/7</v>
      </c>
      <c r="F21" s="30"/>
    </row>
    <row r="22" customFormat="false" ht="18" hidden="false" customHeight="true" outlineLevel="0" collapsed="false">
      <c r="B22" s="29" t="str">
        <f aca="false">IF(COUNTIF(Leads!$V$2:$V$101,"&gt;0")&lt;2,"",IFERROR(INDEX(Leads!$C$2:$C$101,MATCH(LARGE(Leads!$V$2:$V$101,2),Leads!$V$2:$V$101,0)),""))</f>
        <v>Nicole Brooks</v>
      </c>
      <c r="C22" s="29" t="str">
        <f aca="false">IF($B22="","",INDEX(Leads!$I$2:$I$101,MATCH(LARGE(Leads!$V$2:$V$101,2),Leads!$V$2:$V$101,0)))</f>
        <v>Contacted</v>
      </c>
      <c r="D22" s="29" t="str">
        <f aca="false">IF($B22="","",INDEX(Leads!$Q$2:$Q$101,MATCH(LARGE(Leads!$V$2:$V$101,2),Leads!$V$2:$V$101,0)))</f>
        <v>Overdue</v>
      </c>
      <c r="E22" s="30" t="str">
        <f aca="false">IF($B22="","",INDEX(Leads!$T$2:$T$101,MATCH(LARGE(Leads!$V$2:$V$101,2),Leads!$V$2:$V$101,0)))</f>
        <v>OVERDUE — contact Nicole Brooks today, follow-up was due 8/5</v>
      </c>
      <c r="F22" s="30"/>
    </row>
    <row r="23" customFormat="false" ht="18" hidden="false" customHeight="true" outlineLevel="0" collapsed="false">
      <c r="B23" s="29" t="str">
        <f aca="false">IF(COUNTIF(Leads!$V$2:$V$101,"&gt;0")&lt;3,"",IFERROR(INDEX(Leads!$C$2:$C$101,MATCH(LARGE(Leads!$V$2:$V$101,3),Leads!$V$2:$V$101,0)),""))</f>
        <v>Jessica Martinez</v>
      </c>
      <c r="C23" s="29" t="str">
        <f aca="false">IF($B23="","",INDEX(Leads!$I$2:$I$101,MATCH(LARGE(Leads!$V$2:$V$101,3),Leads!$V$2:$V$101,0)))</f>
        <v>Qualified</v>
      </c>
      <c r="D23" s="29" t="str">
        <f aca="false">IF($B23="","",INDEX(Leads!$Q$2:$Q$101,MATCH(LARGE(Leads!$V$2:$V$101,3),Leads!$V$2:$V$101,0)))</f>
        <v>Due Today</v>
      </c>
      <c r="E23" s="30" t="str">
        <f aca="false">IF($B23="","",INDEX(Leads!$T$2:$T$101,MATCH(LARGE(Leads!$V$2:$V$101,3),Leads!$V$2:$V$101,0)))</f>
        <v>Priority call/text Jessica Martinez — high interest, $900 opportunity</v>
      </c>
      <c r="F23" s="30"/>
    </row>
    <row r="24" customFormat="false" ht="18" hidden="false" customHeight="true" outlineLevel="0" collapsed="false">
      <c r="B24" s="29" t="str">
        <f aca="false">IF(COUNTIF(Leads!$V$2:$V$101,"&gt;0")&lt;4,"",IFERROR(INDEX(Leads!$C$2:$C$101,MATCH(LARGE(Leads!$V$2:$V$101,4),Leads!$V$2:$V$101,0)),""))</f>
        <v>Michael Chen</v>
      </c>
      <c r="C24" s="29" t="str">
        <f aca="false">IF($B24="","",INDEX(Leads!$I$2:$I$101,MATCH(LARGE(Leads!$V$2:$V$101,4),Leads!$V$2:$V$101,0)))</f>
        <v>Appointment Booked</v>
      </c>
      <c r="D24" s="29" t="str">
        <f aca="false">IF($B24="","",INDEX(Leads!$Q$2:$Q$101,MATCH(LARGE(Leads!$V$2:$V$101,4),Leads!$V$2:$V$101,0)))</f>
        <v>Due Today</v>
      </c>
      <c r="E24" s="30" t="str">
        <f aca="false">IF($B24="","",INDEX(Leads!$T$2:$T$101,MATCH(LARGE(Leads!$V$2:$V$101,4),Leads!$V$2:$V$101,0)))</f>
        <v>Priority call/text Michael Chen — high interest, $750 opportunity</v>
      </c>
      <c r="F24" s="30"/>
    </row>
    <row r="25" customFormat="false" ht="18" hidden="false" customHeight="true" outlineLevel="0" collapsed="false">
      <c r="B25" s="29" t="str">
        <f aca="false">IF(COUNTIF(Leads!$V$2:$V$101,"&gt;0")&lt;5,"",IFERROR(INDEX(Leads!$C$2:$C$101,MATCH(LARGE(Leads!$V$2:$V$101,5),Leads!$V$2:$V$101,0)),""))</f>
        <v>Carlos Vega</v>
      </c>
      <c r="C25" s="29" t="str">
        <f aca="false">IF($B25="","",INDEX(Leads!$I$2:$I$101,MATCH(LARGE(Leads!$V$2:$V$101,5),Leads!$V$2:$V$101,0)))</f>
        <v>Qualified</v>
      </c>
      <c r="D25" s="29" t="str">
        <f aca="false">IF($B25="","",INDEX(Leads!$Q$2:$Q$101,MATCH(LARGE(Leads!$V$2:$V$101,5),Leads!$V$2:$V$101,0)))</f>
        <v>Due Today</v>
      </c>
      <c r="E25" s="30" t="str">
        <f aca="false">IF($B25="","",INDEX(Leads!$T$2:$T$101,MATCH(LARGE(Leads!$V$2:$V$101,5),Leads!$V$2:$V$101,0)))</f>
        <v>Priority call/text Carlos Vega — high interest, $1,400 opportunity</v>
      </c>
      <c r="F25" s="30"/>
    </row>
    <row r="26" customFormat="false" ht="18" hidden="false" customHeight="true" outlineLevel="0" collapsed="false">
      <c r="B26" s="29" t="str">
        <f aca="false">IF(COUNTIF(Leads!$V$2:$V$101,"&gt;0")&lt;6,"",IFERROR(INDEX(Leads!$C$2:$C$101,MATCH(LARGE(Leads!$V$2:$V$101,6),Leads!$V$2:$V$101,0)),""))</f>
        <v/>
      </c>
      <c r="C26" s="29" t="str">
        <f aca="false">IF($B26="","",INDEX(Leads!$I$2:$I$101,MATCH(LARGE(Leads!$V$2:$V$101,6),Leads!$V$2:$V$101,0)))</f>
        <v/>
      </c>
      <c r="D26" s="29" t="str">
        <f aca="false">IF($B26="","",INDEX(Leads!$Q$2:$Q$101,MATCH(LARGE(Leads!$V$2:$V$101,6),Leads!$V$2:$V$101,0)))</f>
        <v/>
      </c>
      <c r="E26" s="30" t="str">
        <f aca="false">IF($B26="","",INDEX(Leads!$T$2:$T$101,MATCH(LARGE(Leads!$V$2:$V$101,6),Leads!$V$2:$V$101,0)))</f>
        <v/>
      </c>
      <c r="F26" s="30"/>
    </row>
    <row r="27" customFormat="false" ht="18" hidden="false" customHeight="true" outlineLevel="0" collapsed="false">
      <c r="B27" s="29" t="str">
        <f aca="false">IF(COUNTIF(Leads!$V$2:$V$101,"&gt;0")&lt;7,"",IFERROR(INDEX(Leads!$C$2:$C$101,MATCH(LARGE(Leads!$V$2:$V$101,7),Leads!$V$2:$V$101,0)),""))</f>
        <v/>
      </c>
      <c r="C27" s="29" t="str">
        <f aca="false">IF($B27="","",INDEX(Leads!$I$2:$I$101,MATCH(LARGE(Leads!$V$2:$V$101,7),Leads!$V$2:$V$101,0)))</f>
        <v/>
      </c>
      <c r="D27" s="29" t="str">
        <f aca="false">IF($B27="","",INDEX(Leads!$Q$2:$Q$101,MATCH(LARGE(Leads!$V$2:$V$101,7),Leads!$V$2:$V$101,0)))</f>
        <v/>
      </c>
      <c r="E27" s="30" t="str">
        <f aca="false">IF($B27="","",INDEX(Leads!$T$2:$T$101,MATCH(LARGE(Leads!$V$2:$V$101,7),Leads!$V$2:$V$101,0)))</f>
        <v/>
      </c>
      <c r="F27" s="30"/>
    </row>
    <row r="28" customFormat="false" ht="18" hidden="false" customHeight="true" outlineLevel="0" collapsed="false">
      <c r="B28" s="29" t="str">
        <f aca="false">IF(COUNTIF(Leads!$V$2:$V$101,"&gt;0")&lt;8,"",IFERROR(INDEX(Leads!$C$2:$C$101,MATCH(LARGE(Leads!$V$2:$V$101,8),Leads!$V$2:$V$101,0)),""))</f>
        <v/>
      </c>
      <c r="C28" s="29" t="str">
        <f aca="false">IF($B28="","",INDEX(Leads!$I$2:$I$101,MATCH(LARGE(Leads!$V$2:$V$101,8),Leads!$V$2:$V$101,0)))</f>
        <v/>
      </c>
      <c r="D28" s="29" t="str">
        <f aca="false">IF($B28="","",INDEX(Leads!$Q$2:$Q$101,MATCH(LARGE(Leads!$V$2:$V$101,8),Leads!$V$2:$V$101,0)))</f>
        <v/>
      </c>
      <c r="E28" s="30" t="str">
        <f aca="false">IF($B28="","",INDEX(Leads!$T$2:$T$101,MATCH(LARGE(Leads!$V$2:$V$101,8),Leads!$V$2:$V$101,0)))</f>
        <v/>
      </c>
      <c r="F28" s="30"/>
    </row>
  </sheetData>
  <mergeCells count="14">
    <mergeCell ref="B2:F2"/>
    <mergeCell ref="B3:F3"/>
    <mergeCell ref="B12:F12"/>
    <mergeCell ref="B13:F17"/>
    <mergeCell ref="B19:F19"/>
    <mergeCell ref="E20:F20"/>
    <mergeCell ref="E21:F21"/>
    <mergeCell ref="E22:F22"/>
    <mergeCell ref="E23:F23"/>
    <mergeCell ref="E24:F24"/>
    <mergeCell ref="E25:F25"/>
    <mergeCell ref="E26:F26"/>
    <mergeCell ref="E27:F27"/>
    <mergeCell ref="E28:F28"/>
  </mergeCells>
  <conditionalFormatting sqref="D21:D28">
    <cfRule type="cellIs" priority="2" operator="equal" aboveAverage="0" equalAverage="0" bottom="0" percent="0" rank="0" text="" dxfId="0">
      <formula>"Overdue"</formula>
    </cfRule>
    <cfRule type="cellIs" priority="3" operator="equal" aboveAverage="0" equalAverage="0" bottom="0" percent="0" rank="0" text="" dxfId="1">
      <formula>"Due Today"</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2"/>
    <col collapsed="false" customWidth="true" hidden="false" outlineLevel="0" max="3" min="3" style="1" width="16"/>
    <col collapsed="false" customWidth="true" hidden="false" outlineLevel="0" max="4" min="4" style="1" width="13"/>
    <col collapsed="false" customWidth="true" hidden="false" outlineLevel="0" max="5" min="5" style="1" width="22"/>
    <col collapsed="false" customWidth="true" hidden="false" outlineLevel="0" max="6" min="6" style="1" width="16"/>
    <col collapsed="false" customWidth="true" hidden="false" outlineLevel="0" max="7" min="7" style="1" width="26"/>
    <col collapsed="false" customWidth="true" hidden="false" outlineLevel="0" max="8" min="8" style="1" width="13"/>
    <col collapsed="false" customWidth="true" hidden="false" outlineLevel="0" max="9" min="9" style="1" width="16"/>
    <col collapsed="false" customWidth="true" hidden="false" outlineLevel="0" max="11" min="10" style="1" width="12"/>
    <col collapsed="false" customWidth="true" hidden="false" outlineLevel="0" max="12" min="12" style="1" width="14"/>
    <col collapsed="false" customWidth="true" hidden="false" outlineLevel="0" max="13" min="13" style="1" width="20"/>
    <col collapsed="false" customWidth="true" hidden="false" outlineLevel="0" max="14" min="14" style="1" width="15"/>
    <col collapsed="false" customWidth="true" hidden="false" outlineLevel="0" max="16" min="15" style="1" width="12"/>
    <col collapsed="false" customWidth="true" hidden="false" outlineLevel="0" max="18" min="17" style="1" width="13"/>
    <col collapsed="false" customWidth="true" hidden="false" outlineLevel="0" max="19" min="19" style="1" width="10"/>
    <col collapsed="false" customWidth="true" hidden="false" outlineLevel="0" max="20" min="20" style="1" width="40"/>
    <col collapsed="false" customWidth="true" hidden="true" outlineLevel="0" max="22" min="21" style="1" width="13"/>
  </cols>
  <sheetData>
    <row r="1" customFormat="false" ht="18" hidden="false" customHeight="true" outlineLevel="0" collapsed="false">
      <c r="A1" s="31" t="s">
        <v>43</v>
      </c>
      <c r="B1" s="31"/>
      <c r="C1" s="31"/>
      <c r="D1" s="31"/>
      <c r="E1" s="31"/>
      <c r="F1" s="31"/>
      <c r="G1" s="31" t="s">
        <v>44</v>
      </c>
      <c r="H1" s="31" t="s">
        <v>45</v>
      </c>
      <c r="I1" s="31" t="s">
        <v>46</v>
      </c>
      <c r="J1" s="31" t="s">
        <v>47</v>
      </c>
      <c r="K1" s="31" t="s">
        <v>48</v>
      </c>
      <c r="L1" s="31" t="s">
        <v>49</v>
      </c>
      <c r="M1" s="31" t="s">
        <v>50</v>
      </c>
      <c r="N1" s="31" t="s">
        <v>51</v>
      </c>
      <c r="O1" s="31" t="s">
        <v>52</v>
      </c>
      <c r="P1" s="31" t="s">
        <v>53</v>
      </c>
      <c r="Q1" s="31" t="s">
        <v>54</v>
      </c>
      <c r="R1" s="31" t="s">
        <v>55</v>
      </c>
      <c r="S1" s="31" t="s">
        <v>56</v>
      </c>
      <c r="T1" s="31" t="s">
        <v>57</v>
      </c>
      <c r="U1" s="32" t="s">
        <v>58</v>
      </c>
      <c r="V1" s="32" t="s">
        <v>59</v>
      </c>
    </row>
    <row r="2" customFormat="false" ht="23.25" hidden="false" customHeight="true" outlineLevel="0" collapsed="false">
      <c r="A2" s="33" t="n">
        <v>1</v>
      </c>
      <c r="B2" s="34" t="n">
        <v>46239</v>
      </c>
      <c r="C2" s="33" t="s">
        <v>60</v>
      </c>
      <c r="D2" s="33" t="s">
        <v>61</v>
      </c>
      <c r="E2" s="33" t="s">
        <v>62</v>
      </c>
      <c r="F2" s="33" t="s">
        <v>63</v>
      </c>
      <c r="G2" s="35" t="s">
        <v>64</v>
      </c>
      <c r="H2" s="33" t="s">
        <v>65</v>
      </c>
      <c r="I2" s="33" t="s">
        <v>34</v>
      </c>
      <c r="J2" s="34" t="n">
        <v>46241</v>
      </c>
      <c r="K2" s="34" t="n">
        <v>46242</v>
      </c>
      <c r="L2" s="33" t="s">
        <v>66</v>
      </c>
      <c r="M2" s="33" t="s">
        <v>67</v>
      </c>
      <c r="N2" s="36" t="n">
        <v>900</v>
      </c>
      <c r="O2" s="33" t="n">
        <v>5</v>
      </c>
      <c r="P2" s="33" t="n">
        <f aca="true">IF(B2="","",TODAY()-B2)</f>
        <v>3</v>
      </c>
      <c r="Q2" s="33" t="str">
        <f aca="true">IF(OR(K2="",I2="Enrolled",I2="Lost"),"--",IF(K2&lt;TODAY(),"Overdue",IF(K2=TODAY(),"Due Today","Upcoming")))</f>
        <v>Due Today</v>
      </c>
      <c r="R2" s="33" t="str">
        <f aca="false">IF(C2="","",IF(OR(I2="Enrolled",I2="Lost"),"Closed",IF(OR(I2="Appointment Booked",I2="Trial Completed",O2&gt;=5,AND(I2="Qualified",O2&gt;=4)),"Hot",IF(OR(I2="Qualified",I2="Contacted",O2=3),"Warm","Cold"))))</f>
        <v>Hot</v>
      </c>
      <c r="S2" s="37" t="n">
        <f aca="false">IF(I2="","",IFERROR(INDEX(Reference!$B$4:$B$10,MATCH(I2,Reference!$A$4:$A$10,0)),0))</f>
        <v>0.35</v>
      </c>
      <c r="T2" s="35" t="str">
        <f aca="false">IF(C2="","",IF(I2="Enrolled","Enrolled — welcome them and ask for a referral",IF(I2="Lost","Closed out — add to a win-back nurture sequence",IF(Q2="Overdue","OVERDUE — contact "&amp;C2&amp;" today, follow-up was due "&amp;TEXT(K2,"m/d"),IF(R2="Hot","Priority call/text "&amp;C2&amp;" — high interest, "&amp;TEXT(N2,"$#,##0")&amp;" opportunity",IF(R2="Warm","Send "&amp;C2&amp;" info on the "&amp;M2&amp;" and confirm next step","Light-touch check-in with "&amp;C2&amp;" to re-engage"))))))</f>
        <v>Priority call/text Jessica Martinez — high interest, $900 opportunity</v>
      </c>
      <c r="U2" s="38" t="n">
        <f aca="false">IF(R2="Hot",N2+ROW()/100000,-1)</f>
        <v>900.00002</v>
      </c>
      <c r="V2" s="1" t="n">
        <f aca="false">IF(OR(Q2="Overdue",Q2="Due Today"),IF(Q2="Overdue",2000000,1000000)-ROW(),-1)</f>
        <v>999998</v>
      </c>
    </row>
    <row r="3" customFormat="false" ht="34.5" hidden="false" customHeight="true" outlineLevel="0" collapsed="false">
      <c r="A3" s="33" t="n">
        <v>2</v>
      </c>
      <c r="B3" s="34" t="n">
        <v>46238</v>
      </c>
      <c r="C3" s="33" t="s">
        <v>68</v>
      </c>
      <c r="D3" s="33" t="s">
        <v>69</v>
      </c>
      <c r="E3" s="33" t="s">
        <v>70</v>
      </c>
      <c r="F3" s="33" t="s">
        <v>71</v>
      </c>
      <c r="G3" s="35" t="s">
        <v>72</v>
      </c>
      <c r="H3" s="33" t="s">
        <v>73</v>
      </c>
      <c r="I3" s="33" t="s">
        <v>35</v>
      </c>
      <c r="J3" s="34" t="n">
        <v>46240</v>
      </c>
      <c r="K3" s="34" t="n">
        <v>46242</v>
      </c>
      <c r="L3" s="33" t="s">
        <v>74</v>
      </c>
      <c r="M3" s="33" t="s">
        <v>75</v>
      </c>
      <c r="N3" s="36" t="n">
        <v>750</v>
      </c>
      <c r="O3" s="33" t="n">
        <v>5</v>
      </c>
      <c r="P3" s="33" t="n">
        <f aca="true">IF(B3="","",TODAY()-B3)</f>
        <v>4</v>
      </c>
      <c r="Q3" s="33" t="str">
        <f aca="true">IF(OR(K3="",I3="Enrolled",I3="Lost"),"--",IF(K3&lt;TODAY(),"Overdue",IF(K3=TODAY(),"Due Today","Upcoming")))</f>
        <v>Due Today</v>
      </c>
      <c r="R3" s="33" t="str">
        <f aca="false">IF(C3="","",IF(OR(I3="Enrolled",I3="Lost"),"Closed",IF(OR(I3="Appointment Booked",I3="Trial Completed",O3&gt;=5,AND(I3="Qualified",O3&gt;=4)),"Hot",IF(OR(I3="Qualified",I3="Contacted",O3=3),"Warm","Cold"))))</f>
        <v>Hot</v>
      </c>
      <c r="S3" s="37" t="n">
        <f aca="false">IF(I3="","",IFERROR(INDEX(Reference!$B$4:$B$10,MATCH(I3,Reference!$A$4:$A$10,0)),0))</f>
        <v>0.55</v>
      </c>
      <c r="T3" s="35" t="str">
        <f aca="false">IF(C3="","",IF(I3="Enrolled","Enrolled — welcome them and ask for a referral",IF(I3="Lost","Closed out — add to a win-back nurture sequence",IF(Q3="Overdue","OVERDUE — contact "&amp;C3&amp;" today, follow-up was due "&amp;TEXT(K3,"m/d"),IF(R3="Hot","Priority call/text "&amp;C3&amp;" — high interest, "&amp;TEXT(N3,"$#,##0")&amp;" opportunity",IF(R3="Warm","Send "&amp;C3&amp;" info on the "&amp;M3&amp;" and confirm next step","Light-touch check-in with "&amp;C3&amp;" to re-engage"))))))</f>
        <v>Priority call/text Michael Chen — high interest, $750 opportunity</v>
      </c>
      <c r="U3" s="38" t="n">
        <f aca="false">IF(R3="Hot",N3+ROW()/100000,-1)</f>
        <v>750.00003</v>
      </c>
      <c r="V3" s="1" t="n">
        <f aca="false">IF(OR(Q3="Overdue",Q3="Due Today"),IF(Q3="Overdue",2000000,1000000)-ROW(),-1)</f>
        <v>999997</v>
      </c>
    </row>
    <row r="4" customFormat="false" ht="23.25" hidden="false" customHeight="true" outlineLevel="0" collapsed="false">
      <c r="A4" s="33" t="n">
        <v>3</v>
      </c>
      <c r="B4" s="34" t="n">
        <v>46237</v>
      </c>
      <c r="C4" s="33" t="s">
        <v>76</v>
      </c>
      <c r="D4" s="33" t="s">
        <v>77</v>
      </c>
      <c r="E4" s="33" t="s">
        <v>78</v>
      </c>
      <c r="F4" s="33" t="s">
        <v>79</v>
      </c>
      <c r="G4" s="35" t="s">
        <v>80</v>
      </c>
      <c r="H4" s="33" t="s">
        <v>81</v>
      </c>
      <c r="I4" s="33" t="s">
        <v>32</v>
      </c>
      <c r="J4" s="34" t="n">
        <v>46239</v>
      </c>
      <c r="K4" s="34" t="n">
        <v>46243</v>
      </c>
      <c r="L4" s="33" t="s">
        <v>82</v>
      </c>
      <c r="M4" s="33" t="s">
        <v>83</v>
      </c>
      <c r="N4" s="36" t="n">
        <v>320</v>
      </c>
      <c r="O4" s="33" t="n">
        <v>3</v>
      </c>
      <c r="P4" s="33" t="n">
        <f aca="true">IF(B4="","",TODAY()-B4)</f>
        <v>5</v>
      </c>
      <c r="Q4" s="33" t="str">
        <f aca="true">IF(OR(K4="",I4="Enrolled",I4="Lost"),"--",IF(K4&lt;TODAY(),"Overdue",IF(K4=TODAY(),"Due Today","Upcoming")))</f>
        <v>Upcoming</v>
      </c>
      <c r="R4" s="33" t="str">
        <f aca="false">IF(C4="","",IF(OR(I4="Enrolled",I4="Lost"),"Closed",IF(OR(I4="Appointment Booked",I4="Trial Completed",O4&gt;=5,AND(I4="Qualified",O4&gt;=4)),"Hot",IF(OR(I4="Qualified",I4="Contacted",O4=3),"Warm","Cold"))))</f>
        <v>Warm</v>
      </c>
      <c r="S4" s="37" t="n">
        <f aca="false">IF(I4="","",IFERROR(INDEX(Reference!$B$4:$B$10,MATCH(I4,Reference!$A$4:$A$10,0)),0))</f>
        <v>0.2</v>
      </c>
      <c r="T4" s="35" t="str">
        <f aca="false">IF(C4="","",IF(I4="Enrolled","Enrolled — welcome them and ask for a referral",IF(I4="Lost","Closed out — add to a win-back nurture sequence",IF(Q4="Overdue","OVERDUE — contact "&amp;C4&amp;" today, follow-up was due "&amp;TEXT(K4,"m/d"),IF(R4="Hot","Priority call/text "&amp;C4&amp;" — high interest, "&amp;TEXT(N4,"$#,##0")&amp;" opportunity",IF(R4="Warm","Send "&amp;C4&amp;" info on the "&amp;M4&amp;" and confirm next step","Light-touch check-in with "&amp;C4&amp;" to re-engage"))))))</f>
        <v>Send Ashley Ramirez info on the Beginner Program and confirm next step</v>
      </c>
      <c r="U4" s="1" t="n">
        <f aca="false">IF(R4="Hot",N4+ROW()/100000,-1)</f>
        <v>-1</v>
      </c>
      <c r="V4" s="1" t="n">
        <f aca="false">IF(OR(Q4="Overdue",Q4="Due Today"),IF(Q4="Overdue",2000000,1000000)-ROW(),-1)</f>
        <v>-1</v>
      </c>
    </row>
    <row r="5" customFormat="false" ht="23.25" hidden="false" customHeight="true" outlineLevel="0" collapsed="false">
      <c r="A5" s="33" t="n">
        <v>4</v>
      </c>
      <c r="B5" s="34" t="n">
        <v>46236</v>
      </c>
      <c r="C5" s="33" t="s">
        <v>84</v>
      </c>
      <c r="D5" s="33" t="s">
        <v>85</v>
      </c>
      <c r="E5" s="33" t="s">
        <v>86</v>
      </c>
      <c r="F5" s="33" t="s">
        <v>87</v>
      </c>
      <c r="G5" s="35" t="s">
        <v>88</v>
      </c>
      <c r="H5" s="33" t="s">
        <v>89</v>
      </c>
      <c r="I5" s="33" t="s">
        <v>31</v>
      </c>
      <c r="J5" s="34" t="n">
        <v>46237</v>
      </c>
      <c r="K5" s="34" t="n">
        <v>46244</v>
      </c>
      <c r="L5" s="33" t="s">
        <v>82</v>
      </c>
      <c r="M5" s="33" t="s">
        <v>90</v>
      </c>
      <c r="N5" s="36" t="n">
        <v>120</v>
      </c>
      <c r="O5" s="33" t="n">
        <v>2</v>
      </c>
      <c r="P5" s="33" t="n">
        <f aca="true">IF(B5="","",TODAY()-B5)</f>
        <v>6</v>
      </c>
      <c r="Q5" s="33" t="str">
        <f aca="true">IF(OR(K5="",I5="Enrolled",I5="Lost"),"--",IF(K5&lt;TODAY(),"Overdue",IF(K5=TODAY(),"Due Today","Upcoming")))</f>
        <v>Upcoming</v>
      </c>
      <c r="R5" s="33" t="str">
        <f aca="false">IF(C5="","",IF(OR(I5="Enrolled",I5="Lost"),"Closed",IF(OR(I5="Appointment Booked",I5="Trial Completed",O5&gt;=5,AND(I5="Qualified",O5&gt;=4)),"Hot",IF(OR(I5="Qualified",I5="Contacted",O5=3),"Warm","Cold"))))</f>
        <v>Cold</v>
      </c>
      <c r="S5" s="37" t="n">
        <f aca="false">IF(I5="","",IFERROR(INDEX(Reference!$B$4:$B$10,MATCH(I5,Reference!$A$4:$A$10,0)),0))</f>
        <v>0.1</v>
      </c>
      <c r="T5" s="35" t="str">
        <f aca="false">IF(C5="","",IF(I5="Enrolled","Enrolled — welcome them and ask for a referral",IF(I5="Lost","Closed out — add to a win-back nurture sequence",IF(Q5="Overdue","OVERDUE — contact "&amp;C5&amp;" today, follow-up was due "&amp;TEXT(K5,"m/d"),IF(R5="Hot","Priority call/text "&amp;C5&amp;" — high interest, "&amp;TEXT(N5,"$#,##0")&amp;" opportunity",IF(R5="Warm","Send "&amp;C5&amp;" info on the "&amp;M5&amp;" and confirm next step","Light-touch check-in with "&amp;C5&amp;" to re-engage"))))))</f>
        <v>Light-touch check-in with Daniel Osei to re-engage</v>
      </c>
      <c r="U5" s="1" t="n">
        <f aca="false">IF(R5="Hot",N5+ROW()/100000,-1)</f>
        <v>-1</v>
      </c>
      <c r="V5" s="1" t="n">
        <f aca="false">IF(OR(Q5="Overdue",Q5="Due Today"),IF(Q5="Overdue",2000000,1000000)-ROW(),-1)</f>
        <v>-1</v>
      </c>
    </row>
    <row r="6" customFormat="false" ht="34.5" hidden="false" customHeight="true" outlineLevel="0" collapsed="false">
      <c r="A6" s="33" t="n">
        <v>5</v>
      </c>
      <c r="B6" s="34" t="n">
        <v>46235</v>
      </c>
      <c r="C6" s="33" t="s">
        <v>91</v>
      </c>
      <c r="D6" s="33" t="s">
        <v>92</v>
      </c>
      <c r="E6" s="33" t="s">
        <v>93</v>
      </c>
      <c r="F6" s="33" t="s">
        <v>63</v>
      </c>
      <c r="G6" s="35" t="s">
        <v>94</v>
      </c>
      <c r="H6" s="33" t="s">
        <v>95</v>
      </c>
      <c r="I6" s="33" t="s">
        <v>35</v>
      </c>
      <c r="J6" s="34" t="n">
        <v>46242</v>
      </c>
      <c r="K6" s="34" t="n">
        <v>46243</v>
      </c>
      <c r="L6" s="33" t="s">
        <v>66</v>
      </c>
      <c r="M6" s="33" t="s">
        <v>67</v>
      </c>
      <c r="N6" s="36" t="n">
        <v>950</v>
      </c>
      <c r="O6" s="33" t="n">
        <v>5</v>
      </c>
      <c r="P6" s="33" t="n">
        <f aca="true">IF(B6="","",TODAY()-B6)</f>
        <v>7</v>
      </c>
      <c r="Q6" s="33" t="str">
        <f aca="true">IF(OR(K6="",I6="Enrolled",I6="Lost"),"--",IF(K6&lt;TODAY(),"Overdue",IF(K6=TODAY(),"Due Today","Upcoming")))</f>
        <v>Upcoming</v>
      </c>
      <c r="R6" s="33" t="str">
        <f aca="false">IF(C6="","",IF(OR(I6="Enrolled",I6="Lost"),"Closed",IF(OR(I6="Appointment Booked",I6="Trial Completed",O6&gt;=5,AND(I6="Qualified",O6&gt;=4)),"Hot",IF(OR(I6="Qualified",I6="Contacted",O6=3),"Warm","Cold"))))</f>
        <v>Hot</v>
      </c>
      <c r="S6" s="37" t="n">
        <f aca="false">IF(I6="","",IFERROR(INDEX(Reference!$B$4:$B$10,MATCH(I6,Reference!$A$4:$A$10,0)),0))</f>
        <v>0.55</v>
      </c>
      <c r="T6" s="35" t="str">
        <f aca="false">IF(C6="","",IF(I6="Enrolled","Enrolled — welcome them and ask for a referral",IF(I6="Lost","Closed out — add to a win-back nurture sequence",IF(Q6="Overdue","OVERDUE — contact "&amp;C6&amp;" today, follow-up was due "&amp;TEXT(K6,"m/d"),IF(R6="Hot","Priority call/text "&amp;C6&amp;" — high interest, "&amp;TEXT(N6,"$#,##0")&amp;" opportunity",IF(R6="Warm","Send "&amp;C6&amp;" info on the "&amp;M6&amp;" and confirm next step","Light-touch check-in with "&amp;C6&amp;" to re-engage"))))))</f>
        <v>Priority call/text Emily &amp; Josh Turner — high interest, $950 opportunity</v>
      </c>
      <c r="U6" s="38" t="n">
        <f aca="false">IF(R6="Hot",N6+ROW()/100000,-1)</f>
        <v>950.00006</v>
      </c>
      <c r="V6" s="1" t="n">
        <f aca="false">IF(OR(Q6="Overdue",Q6="Due Today"),IF(Q6="Overdue",2000000,1000000)-ROW(),-1)</f>
        <v>-1</v>
      </c>
    </row>
    <row r="7" customFormat="false" ht="23.25" hidden="false" customHeight="true" outlineLevel="0" collapsed="false">
      <c r="A7" s="33" t="n">
        <v>6</v>
      </c>
      <c r="B7" s="34" t="n">
        <v>46234</v>
      </c>
      <c r="C7" s="33" t="s">
        <v>96</v>
      </c>
      <c r="D7" s="33" t="s">
        <v>97</v>
      </c>
      <c r="E7" s="33" t="s">
        <v>98</v>
      </c>
      <c r="F7" s="33" t="s">
        <v>99</v>
      </c>
      <c r="G7" s="35" t="s">
        <v>100</v>
      </c>
      <c r="H7" s="33" t="s">
        <v>65</v>
      </c>
      <c r="I7" s="33" t="s">
        <v>31</v>
      </c>
      <c r="J7" s="34" t="n">
        <v>46235</v>
      </c>
      <c r="K7" s="34" t="n">
        <v>46241</v>
      </c>
      <c r="L7" s="33" t="s">
        <v>82</v>
      </c>
      <c r="M7" s="33" t="s">
        <v>101</v>
      </c>
      <c r="N7" s="36" t="n">
        <v>240</v>
      </c>
      <c r="O7" s="33" t="n">
        <v>2</v>
      </c>
      <c r="P7" s="33" t="n">
        <f aca="true">IF(B7="","",TODAY()-B7)</f>
        <v>8</v>
      </c>
      <c r="Q7" s="33" t="str">
        <f aca="true">IF(OR(K7="",I7="Enrolled",I7="Lost"),"--",IF(K7&lt;TODAY(),"Overdue",IF(K7=TODAY(),"Due Today","Upcoming")))</f>
        <v>Overdue</v>
      </c>
      <c r="R7" s="33" t="str">
        <f aca="false">IF(C7="","",IF(OR(I7="Enrolled",I7="Lost"),"Closed",IF(OR(I7="Appointment Booked",I7="Trial Completed",O7&gt;=5,AND(I7="Qualified",O7&gt;=4)),"Hot",IF(OR(I7="Qualified",I7="Contacted",O7=3),"Warm","Cold"))))</f>
        <v>Cold</v>
      </c>
      <c r="S7" s="37" t="n">
        <f aca="false">IF(I7="","",IFERROR(INDEX(Reference!$B$4:$B$10,MATCH(I7,Reference!$A$4:$A$10,0)),0))</f>
        <v>0.1</v>
      </c>
      <c r="T7" s="35" t="str">
        <f aca="false">IF(C7="","",IF(I7="Enrolled","Enrolled — welcome them and ask for a referral",IF(I7="Lost","Closed out — add to a win-back nurture sequence",IF(Q7="Overdue","OVERDUE — contact "&amp;C7&amp;" today, follow-up was due "&amp;TEXT(K7,"m/d"),IF(R7="Hot","Priority call/text "&amp;C7&amp;" — high interest, "&amp;TEXT(N7,"$#,##0")&amp;" opportunity",IF(R7="Warm","Send "&amp;C7&amp;" info on the "&amp;M7&amp;" and confirm next step","Light-touch check-in with "&amp;C7&amp;" to re-engage"))))))</f>
        <v>OVERDUE — contact Priya Nair today, follow-up was due 8/7</v>
      </c>
      <c r="U7" s="1" t="n">
        <f aca="false">IF(R7="Hot",N7+ROW()/100000,-1)</f>
        <v>-1</v>
      </c>
      <c r="V7" s="1" t="n">
        <f aca="false">IF(OR(Q7="Overdue",Q7="Due Today"),IF(Q7="Overdue",2000000,1000000)-ROW(),-1)</f>
        <v>1999993</v>
      </c>
    </row>
    <row r="8" customFormat="false" ht="34.5" hidden="false" customHeight="true" outlineLevel="0" collapsed="false">
      <c r="A8" s="33" t="n">
        <v>7</v>
      </c>
      <c r="B8" s="34" t="n">
        <v>46233</v>
      </c>
      <c r="C8" s="33" t="s">
        <v>102</v>
      </c>
      <c r="D8" s="33" t="s">
        <v>103</v>
      </c>
      <c r="E8" s="33" t="s">
        <v>104</v>
      </c>
      <c r="F8" s="33" t="s">
        <v>105</v>
      </c>
      <c r="G8" s="35" t="s">
        <v>106</v>
      </c>
      <c r="H8" s="33" t="s">
        <v>107</v>
      </c>
      <c r="I8" s="33" t="s">
        <v>34</v>
      </c>
      <c r="J8" s="34" t="n">
        <v>46241</v>
      </c>
      <c r="K8" s="34" t="n">
        <v>46242</v>
      </c>
      <c r="L8" s="33" t="s">
        <v>74</v>
      </c>
      <c r="M8" s="33" t="s">
        <v>108</v>
      </c>
      <c r="N8" s="36" t="n">
        <v>1400</v>
      </c>
      <c r="O8" s="33" t="n">
        <v>4</v>
      </c>
      <c r="P8" s="33" t="n">
        <f aca="true">IF(B8="","",TODAY()-B8)</f>
        <v>9</v>
      </c>
      <c r="Q8" s="33" t="str">
        <f aca="true">IF(OR(K8="",I8="Enrolled",I8="Lost"),"--",IF(K8&lt;TODAY(),"Overdue",IF(K8=TODAY(),"Due Today","Upcoming")))</f>
        <v>Due Today</v>
      </c>
      <c r="R8" s="33" t="str">
        <f aca="false">IF(C8="","",IF(OR(I8="Enrolled",I8="Lost"),"Closed",IF(OR(I8="Appointment Booked",I8="Trial Completed",O8&gt;=5,AND(I8="Qualified",O8&gt;=4)),"Hot",IF(OR(I8="Qualified",I8="Contacted",O8=3),"Warm","Cold"))))</f>
        <v>Hot</v>
      </c>
      <c r="S8" s="37" t="n">
        <f aca="false">IF(I8="","",IFERROR(INDEX(Reference!$B$4:$B$10,MATCH(I8,Reference!$A$4:$A$10,0)),0))</f>
        <v>0.35</v>
      </c>
      <c r="T8" s="35" t="str">
        <f aca="false">IF(C8="","",IF(I8="Enrolled","Enrolled — welcome them and ask for a referral",IF(I8="Lost","Closed out — add to a win-back nurture sequence",IF(Q8="Overdue","OVERDUE — contact "&amp;C8&amp;" today, follow-up was due "&amp;TEXT(K8,"m/d"),IF(R8="Hot","Priority call/text "&amp;C8&amp;" — high interest, "&amp;TEXT(N8,"$#,##0")&amp;" opportunity",IF(R8="Warm","Send "&amp;C8&amp;" info on the "&amp;M8&amp;" and confirm next step","Light-touch check-in with "&amp;C8&amp;" to re-engage"))))))</f>
        <v>Priority call/text Carlos Vega — high interest, $1,400 opportunity</v>
      </c>
      <c r="U8" s="38" t="n">
        <f aca="false">IF(R8="Hot",N8+ROW()/100000,-1)</f>
        <v>1400.00008</v>
      </c>
      <c r="V8" s="1" t="n">
        <f aca="false">IF(OR(Q8="Overdue",Q8="Due Today"),IF(Q8="Overdue",2000000,1000000)-ROW(),-1)</f>
        <v>999992</v>
      </c>
    </row>
    <row r="9" customFormat="false" ht="23.25" hidden="false" customHeight="true" outlineLevel="0" collapsed="false">
      <c r="A9" s="33" t="n">
        <v>8</v>
      </c>
      <c r="B9" s="34" t="n">
        <v>46232</v>
      </c>
      <c r="C9" s="33" t="s">
        <v>109</v>
      </c>
      <c r="D9" s="33" t="s">
        <v>110</v>
      </c>
      <c r="E9" s="33" t="s">
        <v>111</v>
      </c>
      <c r="F9" s="33" t="s">
        <v>79</v>
      </c>
      <c r="G9" s="35" t="s">
        <v>112</v>
      </c>
      <c r="H9" s="33" t="s">
        <v>113</v>
      </c>
      <c r="I9" s="33" t="s">
        <v>32</v>
      </c>
      <c r="J9" s="34" t="n">
        <v>46232</v>
      </c>
      <c r="K9" s="34" t="n">
        <v>46239</v>
      </c>
      <c r="L9" s="33" t="s">
        <v>82</v>
      </c>
      <c r="M9" s="33" t="s">
        <v>83</v>
      </c>
      <c r="N9" s="36" t="n">
        <v>300</v>
      </c>
      <c r="O9" s="33" t="n">
        <v>1</v>
      </c>
      <c r="P9" s="33" t="n">
        <f aca="true">IF(B9="","",TODAY()-B9)</f>
        <v>10</v>
      </c>
      <c r="Q9" s="33" t="str">
        <f aca="true">IF(OR(K9="",I9="Enrolled",I9="Lost"),"--",IF(K9&lt;TODAY(),"Overdue",IF(K9=TODAY(),"Due Today","Upcoming")))</f>
        <v>Overdue</v>
      </c>
      <c r="R9" s="33" t="str">
        <f aca="false">IF(C9="","",IF(OR(I9="Enrolled",I9="Lost"),"Closed",IF(OR(I9="Appointment Booked",I9="Trial Completed",O9&gt;=5,AND(I9="Qualified",O9&gt;=4)),"Hot",IF(OR(I9="Qualified",I9="Contacted",O9=3),"Warm","Cold"))))</f>
        <v>Warm</v>
      </c>
      <c r="S9" s="37" t="n">
        <f aca="false">IF(I9="","",IFERROR(INDEX(Reference!$B$4:$B$10,MATCH(I9,Reference!$A$4:$A$10,0)),0))</f>
        <v>0.2</v>
      </c>
      <c r="T9" s="35" t="str">
        <f aca="false">IF(C9="","",IF(I9="Enrolled","Enrolled — welcome them and ask for a referral",IF(I9="Lost","Closed out — add to a win-back nurture sequence",IF(Q9="Overdue","OVERDUE — contact "&amp;C9&amp;" today, follow-up was due "&amp;TEXT(K9,"m/d"),IF(R9="Hot","Priority call/text "&amp;C9&amp;" — high interest, "&amp;TEXT(N9,"$#,##0")&amp;" opportunity",IF(R9="Warm","Send "&amp;C9&amp;" info on the "&amp;M9&amp;" and confirm next step","Light-touch check-in with "&amp;C9&amp;" to re-engage"))))))</f>
        <v>OVERDUE — contact Nicole Brooks today, follow-up was due 8/5</v>
      </c>
      <c r="U9" s="1" t="n">
        <f aca="false">IF(R9="Hot",N9+ROW()/100000,-1)</f>
        <v>-1</v>
      </c>
      <c r="V9" s="1" t="n">
        <f aca="false">IF(OR(Q9="Overdue",Q9="Due Today"),IF(Q9="Overdue",2000000,1000000)-ROW(),-1)</f>
        <v>1999991</v>
      </c>
    </row>
    <row r="10" customFormat="false" ht="23.25" hidden="false" customHeight="true" outlineLevel="0" collapsed="false">
      <c r="A10" s="33" t="n">
        <v>9</v>
      </c>
      <c r="B10" s="34" t="n">
        <v>46231</v>
      </c>
      <c r="C10" s="33" t="s">
        <v>114</v>
      </c>
      <c r="D10" s="33" t="s">
        <v>115</v>
      </c>
      <c r="E10" s="33" t="s">
        <v>116</v>
      </c>
      <c r="F10" s="33" t="s">
        <v>71</v>
      </c>
      <c r="G10" s="35" t="s">
        <v>117</v>
      </c>
      <c r="H10" s="33" t="s">
        <v>95</v>
      </c>
      <c r="I10" s="33" t="s">
        <v>37</v>
      </c>
      <c r="J10" s="34" t="n">
        <v>46228</v>
      </c>
      <c r="K10" s="34" t="n">
        <v>46272</v>
      </c>
      <c r="L10" s="33" t="s">
        <v>74</v>
      </c>
      <c r="M10" s="33" t="s">
        <v>75</v>
      </c>
      <c r="N10" s="36" t="n">
        <v>1200</v>
      </c>
      <c r="O10" s="33" t="n">
        <v>5</v>
      </c>
      <c r="P10" s="33" t="n">
        <f aca="true">IF(B10="","",TODAY()-B10)</f>
        <v>11</v>
      </c>
      <c r="Q10" s="33" t="str">
        <f aca="true">IF(OR(K10="",I10="Enrolled",I10="Lost"),"--",IF(K10&lt;TODAY(),"Overdue",IF(K10=TODAY(),"Due Today","Upcoming")))</f>
        <v>--</v>
      </c>
      <c r="R10" s="33" t="str">
        <f aca="false">IF(C10="","",IF(OR(I10="Enrolled",I10="Lost"),"Closed",IF(OR(I10="Appointment Booked",I10="Trial Completed",O10&gt;=5,AND(I10="Qualified",O10&gt;=4)),"Hot",IF(OR(I10="Qualified",I10="Contacted",O10=3),"Warm","Cold"))))</f>
        <v>Closed</v>
      </c>
      <c r="S10" s="37" t="n">
        <f aca="false">IF(I10="","",IFERROR(INDEX(Reference!$B$4:$B$10,MATCH(I10,Reference!$A$4:$A$10,0)),0))</f>
        <v>1</v>
      </c>
      <c r="T10" s="35" t="str">
        <f aca="false">IF(C10="","",IF(I10="Enrolled","Enrolled — welcome them and ask for a referral",IF(I10="Lost","Closed out — add to a win-back nurture sequence",IF(Q10="Overdue","OVERDUE — contact "&amp;C10&amp;" today, follow-up was due "&amp;TEXT(K10,"m/d"),IF(R10="Hot","Priority call/text "&amp;C10&amp;" — high interest, "&amp;TEXT(N10,"$#,##0")&amp;" opportunity",IF(R10="Warm","Send "&amp;C10&amp;" info on the "&amp;M10&amp;" and confirm next step","Light-touch check-in with "&amp;C10&amp;" to re-engage"))))))</f>
        <v>Enrolled — welcome them and ask for a referral</v>
      </c>
      <c r="U10" s="1" t="n">
        <f aca="false">IF(R10="Hot",N10+ROW()/100000,-1)</f>
        <v>-1</v>
      </c>
      <c r="V10" s="1" t="n">
        <f aca="false">IF(OR(Q10="Overdue",Q10="Due Today"),IF(Q10="Overdue",2000000,1000000)-ROW(),-1)</f>
        <v>-1</v>
      </c>
    </row>
    <row r="11" customFormat="false" ht="23.25" hidden="false" customHeight="true" outlineLevel="0" collapsed="false">
      <c r="A11" s="33" t="n">
        <v>10</v>
      </c>
      <c r="B11" s="34" t="n">
        <v>46230</v>
      </c>
      <c r="C11" s="33" t="s">
        <v>118</v>
      </c>
      <c r="D11" s="33" t="s">
        <v>119</v>
      </c>
      <c r="E11" s="33" t="s">
        <v>120</v>
      </c>
      <c r="F11" s="33" t="s">
        <v>121</v>
      </c>
      <c r="G11" s="35" t="s">
        <v>122</v>
      </c>
      <c r="H11" s="33" t="s">
        <v>123</v>
      </c>
      <c r="I11" s="33" t="s">
        <v>38</v>
      </c>
      <c r="J11" s="34" t="n">
        <v>46217</v>
      </c>
      <c r="K11" s="34" t="n">
        <v>46222</v>
      </c>
      <c r="L11" s="33" t="s">
        <v>82</v>
      </c>
      <c r="M11" s="33" t="s">
        <v>124</v>
      </c>
      <c r="N11" s="36" t="n">
        <v>75</v>
      </c>
      <c r="O11" s="33" t="n">
        <v>1</v>
      </c>
      <c r="P11" s="33" t="n">
        <f aca="true">IF(B11="","",TODAY()-B11)</f>
        <v>12</v>
      </c>
      <c r="Q11" s="33" t="str">
        <f aca="true">IF(OR(K11="",I11="Enrolled",I11="Lost"),"--",IF(K11&lt;TODAY(),"Overdue",IF(K11=TODAY(),"Due Today","Upcoming")))</f>
        <v>--</v>
      </c>
      <c r="R11" s="33" t="str">
        <f aca="false">IF(C11="","",IF(OR(I11="Enrolled",I11="Lost"),"Closed",IF(OR(I11="Appointment Booked",I11="Trial Completed",O11&gt;=5,AND(I11="Qualified",O11&gt;=4)),"Hot",IF(OR(I11="Qualified",I11="Contacted",O11=3),"Warm","Cold"))))</f>
        <v>Closed</v>
      </c>
      <c r="S11" s="37" t="n">
        <f aca="false">IF(I11="","",IFERROR(INDEX(Reference!$B$4:$B$10,MATCH(I11,Reference!$A$4:$A$10,0)),0))</f>
        <v>0</v>
      </c>
      <c r="T11" s="35" t="str">
        <f aca="false">IF(C11="","",IF(I11="Enrolled","Enrolled — welcome them and ask for a referral",IF(I11="Lost","Closed out — add to a win-back nurture sequence",IF(Q11="Overdue","OVERDUE — contact "&amp;C11&amp;" today, follow-up was due "&amp;TEXT(K11,"m/d"),IF(R11="Hot","Priority call/text "&amp;C11&amp;" — high interest, "&amp;TEXT(N11,"$#,##0")&amp;" opportunity",IF(R11="Warm","Send "&amp;C11&amp;" info on the "&amp;M11&amp;" and confirm next step","Light-touch check-in with "&amp;C11&amp;" to re-engage"))))))</f>
        <v>Closed out — add to a win-back nurture sequence</v>
      </c>
      <c r="U11" s="1" t="n">
        <f aca="false">IF(R11="Hot",N11+ROW()/100000,-1)</f>
        <v>-1</v>
      </c>
      <c r="V11" s="1" t="n">
        <f aca="false">IF(OR(Q11="Overdue",Q11="Due Today"),IF(Q11="Overdue",2000000,1000000)-ROW(),-1)</f>
        <v>-1</v>
      </c>
    </row>
    <row r="12" customFormat="false" ht="15" hidden="false" customHeight="true" outlineLevel="0" collapsed="false">
      <c r="A12" s="33"/>
      <c r="B12" s="39"/>
      <c r="C12" s="39"/>
      <c r="D12" s="39"/>
      <c r="E12" s="39"/>
      <c r="F12" s="39"/>
      <c r="G12" s="40"/>
      <c r="H12" s="39"/>
      <c r="I12" s="39"/>
      <c r="J12" s="39"/>
      <c r="K12" s="39"/>
      <c r="L12" s="39"/>
      <c r="M12" s="39"/>
      <c r="N12" s="41"/>
      <c r="O12" s="39"/>
      <c r="P12" s="33" t="str">
        <f aca="true">IF(B12="","",TODAY()-B12)</f>
        <v/>
      </c>
      <c r="Q12" s="33" t="str">
        <f aca="true">IF(OR(K12="",I12="Enrolled",I12="Lost"),"--",IF(K12&lt;TODAY(),"Overdue",IF(K12=TODAY(),"Due Today","Upcoming")))</f>
        <v>--</v>
      </c>
      <c r="R12" s="33" t="str">
        <f aca="false">IF(C12="","",IF(OR(I12="Enrolled",I12="Lost"),"Closed",IF(OR(I12="Appointment Booked",I12="Trial Completed",O12&gt;=5,AND(I12="Qualified",O12&gt;=4)),"Hot",IF(OR(I12="Qualified",I12="Contacted",O12=3),"Warm","Cold"))))</f>
        <v/>
      </c>
      <c r="S12" s="37" t="str">
        <f aca="false">IF(I12="","",IFERROR(INDEX(Reference!$B$4:$B$10,MATCH(I12,Reference!$A$4:$A$10,0)),0))</f>
        <v/>
      </c>
      <c r="T12" s="35" t="str">
        <f aca="false">IF(C12="","",IF(I12="Enrolled","Enrolled — welcome them and ask for a referral",IF(I12="Lost","Closed out — add to a win-back nurture sequence",IF(Q12="Overdue","OVERDUE — contact "&amp;C12&amp;" today, follow-up was due "&amp;TEXT(K12,"m/d"),IF(R12="Hot","Priority call/text "&amp;C12&amp;" — high interest, "&amp;TEXT(N12,"$#,##0")&amp;" opportunity",IF(R12="Warm","Send "&amp;C12&amp;" info on the "&amp;M12&amp;" and confirm next step","Light-touch check-in with "&amp;C12&amp;" to re-engage"))))))</f>
        <v/>
      </c>
      <c r="U12" s="1" t="n">
        <f aca="false">IF(R12="Hot",N12+ROW()/100000,-1)</f>
        <v>-1</v>
      </c>
      <c r="V12" s="1" t="n">
        <f aca="false">IF(OR(Q12="Overdue",Q12="Due Today"),IF(Q12="Overdue",2000000,1000000)-ROW(),-1)</f>
        <v>-1</v>
      </c>
    </row>
    <row r="13" customFormat="false" ht="15" hidden="false" customHeight="true" outlineLevel="0" collapsed="false">
      <c r="A13" s="33"/>
      <c r="B13" s="39"/>
      <c r="C13" s="39"/>
      <c r="D13" s="39"/>
      <c r="E13" s="39"/>
      <c r="F13" s="39"/>
      <c r="G13" s="40"/>
      <c r="H13" s="39"/>
      <c r="I13" s="39"/>
      <c r="J13" s="39"/>
      <c r="K13" s="39"/>
      <c r="L13" s="39"/>
      <c r="M13" s="39"/>
      <c r="N13" s="41"/>
      <c r="O13" s="39"/>
      <c r="P13" s="33" t="str">
        <f aca="true">IF(B13="","",TODAY()-B13)</f>
        <v/>
      </c>
      <c r="Q13" s="33" t="str">
        <f aca="true">IF(OR(K13="",I13="Enrolled",I13="Lost"),"--",IF(K13&lt;TODAY(),"Overdue",IF(K13=TODAY(),"Due Today","Upcoming")))</f>
        <v>--</v>
      </c>
      <c r="R13" s="33" t="str">
        <f aca="false">IF(C13="","",IF(OR(I13="Enrolled",I13="Lost"),"Closed",IF(OR(I13="Appointment Booked",I13="Trial Completed",O13&gt;=5,AND(I13="Qualified",O13&gt;=4)),"Hot",IF(OR(I13="Qualified",I13="Contacted",O13=3),"Warm","Cold"))))</f>
        <v/>
      </c>
      <c r="S13" s="37" t="str">
        <f aca="false">IF(I13="","",IFERROR(INDEX(Reference!$B$4:$B$10,MATCH(I13,Reference!$A$4:$A$10,0)),0))</f>
        <v/>
      </c>
      <c r="T13" s="35" t="str">
        <f aca="false">IF(C13="","",IF(I13="Enrolled","Enrolled — welcome them and ask for a referral",IF(I13="Lost","Closed out — add to a win-back nurture sequence",IF(Q13="Overdue","OVERDUE — contact "&amp;C13&amp;" today, follow-up was due "&amp;TEXT(K13,"m/d"),IF(R13="Hot","Priority call/text "&amp;C13&amp;" — high interest, "&amp;TEXT(N13,"$#,##0")&amp;" opportunity",IF(R13="Warm","Send "&amp;C13&amp;" info on the "&amp;M13&amp;" and confirm next step","Light-touch check-in with "&amp;C13&amp;" to re-engage"))))))</f>
        <v/>
      </c>
      <c r="U13" s="1" t="n">
        <f aca="false">IF(R13="Hot",N13+ROW()/100000,-1)</f>
        <v>-1</v>
      </c>
      <c r="V13" s="1" t="n">
        <f aca="false">IF(OR(Q13="Overdue",Q13="Due Today"),IF(Q13="Overdue",2000000,1000000)-ROW(),-1)</f>
        <v>-1</v>
      </c>
    </row>
    <row r="14" customFormat="false" ht="15" hidden="false" customHeight="true" outlineLevel="0" collapsed="false">
      <c r="A14" s="33"/>
      <c r="B14" s="39"/>
      <c r="C14" s="39"/>
      <c r="D14" s="39"/>
      <c r="E14" s="39"/>
      <c r="F14" s="39"/>
      <c r="G14" s="40"/>
      <c r="H14" s="39"/>
      <c r="I14" s="39"/>
      <c r="J14" s="39"/>
      <c r="K14" s="39"/>
      <c r="L14" s="39"/>
      <c r="M14" s="39"/>
      <c r="N14" s="41"/>
      <c r="O14" s="39"/>
      <c r="P14" s="33" t="str">
        <f aca="true">IF(B14="","",TODAY()-B14)</f>
        <v/>
      </c>
      <c r="Q14" s="33" t="str">
        <f aca="true">IF(OR(K14="",I14="Enrolled",I14="Lost"),"--",IF(K14&lt;TODAY(),"Overdue",IF(K14=TODAY(),"Due Today","Upcoming")))</f>
        <v>--</v>
      </c>
      <c r="R14" s="33" t="str">
        <f aca="false">IF(C14="","",IF(OR(I14="Enrolled",I14="Lost"),"Closed",IF(OR(I14="Appointment Booked",I14="Trial Completed",O14&gt;=5,AND(I14="Qualified",O14&gt;=4)),"Hot",IF(OR(I14="Qualified",I14="Contacted",O14=3),"Warm","Cold"))))</f>
        <v/>
      </c>
      <c r="S14" s="37" t="str">
        <f aca="false">IF(I14="","",IFERROR(INDEX(Reference!$B$4:$B$10,MATCH(I14,Reference!$A$4:$A$10,0)),0))</f>
        <v/>
      </c>
      <c r="T14" s="35" t="str">
        <f aca="false">IF(C14="","",IF(I14="Enrolled","Enrolled — welcome them and ask for a referral",IF(I14="Lost","Closed out — add to a win-back nurture sequence",IF(Q14="Overdue","OVERDUE — contact "&amp;C14&amp;" today, follow-up was due "&amp;TEXT(K14,"m/d"),IF(R14="Hot","Priority call/text "&amp;C14&amp;" — high interest, "&amp;TEXT(N14,"$#,##0")&amp;" opportunity",IF(R14="Warm","Send "&amp;C14&amp;" info on the "&amp;M14&amp;" and confirm next step","Light-touch check-in with "&amp;C14&amp;" to re-engage"))))))</f>
        <v/>
      </c>
      <c r="U14" s="1" t="n">
        <f aca="false">IF(R14="Hot",N14+ROW()/100000,-1)</f>
        <v>-1</v>
      </c>
      <c r="V14" s="1" t="n">
        <f aca="false">IF(OR(Q14="Overdue",Q14="Due Today"),IF(Q14="Overdue",2000000,1000000)-ROW(),-1)</f>
        <v>-1</v>
      </c>
    </row>
    <row r="15" customFormat="false" ht="15" hidden="false" customHeight="true" outlineLevel="0" collapsed="false">
      <c r="A15" s="33"/>
      <c r="B15" s="39"/>
      <c r="C15" s="39"/>
      <c r="D15" s="39"/>
      <c r="E15" s="39"/>
      <c r="F15" s="39"/>
      <c r="G15" s="40"/>
      <c r="H15" s="39"/>
      <c r="I15" s="39"/>
      <c r="J15" s="39"/>
      <c r="K15" s="39"/>
      <c r="L15" s="39"/>
      <c r="M15" s="39"/>
      <c r="N15" s="41"/>
      <c r="O15" s="39"/>
      <c r="P15" s="33" t="str">
        <f aca="true">IF(B15="","",TODAY()-B15)</f>
        <v/>
      </c>
      <c r="Q15" s="33" t="str">
        <f aca="true">IF(OR(K15="",I15="Enrolled",I15="Lost"),"--",IF(K15&lt;TODAY(),"Overdue",IF(K15=TODAY(),"Due Today","Upcoming")))</f>
        <v>--</v>
      </c>
      <c r="R15" s="33" t="str">
        <f aca="false">IF(C15="","",IF(OR(I15="Enrolled",I15="Lost"),"Closed",IF(OR(I15="Appointment Booked",I15="Trial Completed",O15&gt;=5,AND(I15="Qualified",O15&gt;=4)),"Hot",IF(OR(I15="Qualified",I15="Contacted",O15=3),"Warm","Cold"))))</f>
        <v/>
      </c>
      <c r="S15" s="37" t="str">
        <f aca="false">IF(I15="","",IFERROR(INDEX(Reference!$B$4:$B$10,MATCH(I15,Reference!$A$4:$A$10,0)),0))</f>
        <v/>
      </c>
      <c r="T15" s="35" t="str">
        <f aca="false">IF(C15="","",IF(I15="Enrolled","Enrolled — welcome them and ask for a referral",IF(I15="Lost","Closed out — add to a win-back nurture sequence",IF(Q15="Overdue","OVERDUE — contact "&amp;C15&amp;" today, follow-up was due "&amp;TEXT(K15,"m/d"),IF(R15="Hot","Priority call/text "&amp;C15&amp;" — high interest, "&amp;TEXT(N15,"$#,##0")&amp;" opportunity",IF(R15="Warm","Send "&amp;C15&amp;" info on the "&amp;M15&amp;" and confirm next step","Light-touch check-in with "&amp;C15&amp;" to re-engage"))))))</f>
        <v/>
      </c>
      <c r="U15" s="1" t="n">
        <f aca="false">IF(R15="Hot",N15+ROW()/100000,-1)</f>
        <v>-1</v>
      </c>
      <c r="V15" s="1" t="n">
        <f aca="false">IF(OR(Q15="Overdue",Q15="Due Today"),IF(Q15="Overdue",2000000,1000000)-ROW(),-1)</f>
        <v>-1</v>
      </c>
    </row>
    <row r="16" customFormat="false" ht="15" hidden="false" customHeight="true" outlineLevel="0" collapsed="false">
      <c r="A16" s="33"/>
      <c r="B16" s="39"/>
      <c r="C16" s="39"/>
      <c r="D16" s="39"/>
      <c r="E16" s="39"/>
      <c r="F16" s="39"/>
      <c r="G16" s="40"/>
      <c r="H16" s="39"/>
      <c r="I16" s="39"/>
      <c r="J16" s="39"/>
      <c r="K16" s="39"/>
      <c r="L16" s="39"/>
      <c r="M16" s="39"/>
      <c r="N16" s="41"/>
      <c r="O16" s="39"/>
      <c r="P16" s="33" t="str">
        <f aca="true">IF(B16="","",TODAY()-B16)</f>
        <v/>
      </c>
      <c r="Q16" s="33" t="str">
        <f aca="true">IF(OR(K16="",I16="Enrolled",I16="Lost"),"--",IF(K16&lt;TODAY(),"Overdue",IF(K16=TODAY(),"Due Today","Upcoming")))</f>
        <v>--</v>
      </c>
      <c r="R16" s="33" t="str">
        <f aca="false">IF(C16="","",IF(OR(I16="Enrolled",I16="Lost"),"Closed",IF(OR(I16="Appointment Booked",I16="Trial Completed",O16&gt;=5,AND(I16="Qualified",O16&gt;=4)),"Hot",IF(OR(I16="Qualified",I16="Contacted",O16=3),"Warm","Cold"))))</f>
        <v/>
      </c>
      <c r="S16" s="37" t="str">
        <f aca="false">IF(I16="","",IFERROR(INDEX(Reference!$B$4:$B$10,MATCH(I16,Reference!$A$4:$A$10,0)),0))</f>
        <v/>
      </c>
      <c r="T16" s="35" t="str">
        <f aca="false">IF(C16="","",IF(I16="Enrolled","Enrolled — welcome them and ask for a referral",IF(I16="Lost","Closed out — add to a win-back nurture sequence",IF(Q16="Overdue","OVERDUE — contact "&amp;C16&amp;" today, follow-up was due "&amp;TEXT(K16,"m/d"),IF(R16="Hot","Priority call/text "&amp;C16&amp;" — high interest, "&amp;TEXT(N16,"$#,##0")&amp;" opportunity",IF(R16="Warm","Send "&amp;C16&amp;" info on the "&amp;M16&amp;" and confirm next step","Light-touch check-in with "&amp;C16&amp;" to re-engage"))))))</f>
        <v/>
      </c>
      <c r="U16" s="1" t="n">
        <f aca="false">IF(R16="Hot",N16+ROW()/100000,-1)</f>
        <v>-1</v>
      </c>
      <c r="V16" s="1" t="n">
        <f aca="false">IF(OR(Q16="Overdue",Q16="Due Today"),IF(Q16="Overdue",2000000,1000000)-ROW(),-1)</f>
        <v>-1</v>
      </c>
    </row>
    <row r="17" customFormat="false" ht="15" hidden="false" customHeight="true" outlineLevel="0" collapsed="false">
      <c r="A17" s="33"/>
      <c r="B17" s="39"/>
      <c r="C17" s="39"/>
      <c r="D17" s="39"/>
      <c r="E17" s="39"/>
      <c r="F17" s="39"/>
      <c r="G17" s="40"/>
      <c r="H17" s="39"/>
      <c r="I17" s="39"/>
      <c r="J17" s="39"/>
      <c r="K17" s="39"/>
      <c r="L17" s="39"/>
      <c r="M17" s="39"/>
      <c r="N17" s="41"/>
      <c r="O17" s="39"/>
      <c r="P17" s="33" t="str">
        <f aca="true">IF(B17="","",TODAY()-B17)</f>
        <v/>
      </c>
      <c r="Q17" s="33" t="str">
        <f aca="true">IF(OR(K17="",I17="Enrolled",I17="Lost"),"--",IF(K17&lt;TODAY(),"Overdue",IF(K17=TODAY(),"Due Today","Upcoming")))</f>
        <v>--</v>
      </c>
      <c r="R17" s="33" t="str">
        <f aca="false">IF(C17="","",IF(OR(I17="Enrolled",I17="Lost"),"Closed",IF(OR(I17="Appointment Booked",I17="Trial Completed",O17&gt;=5,AND(I17="Qualified",O17&gt;=4)),"Hot",IF(OR(I17="Qualified",I17="Contacted",O17=3),"Warm","Cold"))))</f>
        <v/>
      </c>
      <c r="S17" s="37" t="str">
        <f aca="false">IF(I17="","",IFERROR(INDEX(Reference!$B$4:$B$10,MATCH(I17,Reference!$A$4:$A$10,0)),0))</f>
        <v/>
      </c>
      <c r="T17" s="35" t="str">
        <f aca="false">IF(C17="","",IF(I17="Enrolled","Enrolled — welcome them and ask for a referral",IF(I17="Lost","Closed out — add to a win-back nurture sequence",IF(Q17="Overdue","OVERDUE — contact "&amp;C17&amp;" today, follow-up was due "&amp;TEXT(K17,"m/d"),IF(R17="Hot","Priority call/text "&amp;C17&amp;" — high interest, "&amp;TEXT(N17,"$#,##0")&amp;" opportunity",IF(R17="Warm","Send "&amp;C17&amp;" info on the "&amp;M17&amp;" and confirm next step","Light-touch check-in with "&amp;C17&amp;" to re-engage"))))))</f>
        <v/>
      </c>
      <c r="U17" s="1" t="n">
        <f aca="false">IF(R17="Hot",N17+ROW()/100000,-1)</f>
        <v>-1</v>
      </c>
      <c r="V17" s="1" t="n">
        <f aca="false">IF(OR(Q17="Overdue",Q17="Due Today"),IF(Q17="Overdue",2000000,1000000)-ROW(),-1)</f>
        <v>-1</v>
      </c>
    </row>
    <row r="18" customFormat="false" ht="15" hidden="false" customHeight="true" outlineLevel="0" collapsed="false">
      <c r="A18" s="33"/>
      <c r="B18" s="39"/>
      <c r="C18" s="39"/>
      <c r="D18" s="39"/>
      <c r="E18" s="39"/>
      <c r="F18" s="39"/>
      <c r="G18" s="40"/>
      <c r="H18" s="39"/>
      <c r="I18" s="39"/>
      <c r="J18" s="39"/>
      <c r="K18" s="39"/>
      <c r="L18" s="39"/>
      <c r="M18" s="39"/>
      <c r="N18" s="41"/>
      <c r="O18" s="39"/>
      <c r="P18" s="33" t="str">
        <f aca="true">IF(B18="","",TODAY()-B18)</f>
        <v/>
      </c>
      <c r="Q18" s="33" t="str">
        <f aca="true">IF(OR(K18="",I18="Enrolled",I18="Lost"),"--",IF(K18&lt;TODAY(),"Overdue",IF(K18=TODAY(),"Due Today","Upcoming")))</f>
        <v>--</v>
      </c>
      <c r="R18" s="33" t="str">
        <f aca="false">IF(C18="","",IF(OR(I18="Enrolled",I18="Lost"),"Closed",IF(OR(I18="Appointment Booked",I18="Trial Completed",O18&gt;=5,AND(I18="Qualified",O18&gt;=4)),"Hot",IF(OR(I18="Qualified",I18="Contacted",O18=3),"Warm","Cold"))))</f>
        <v/>
      </c>
      <c r="S18" s="37" t="str">
        <f aca="false">IF(I18="","",IFERROR(INDEX(Reference!$B$4:$B$10,MATCH(I18,Reference!$A$4:$A$10,0)),0))</f>
        <v/>
      </c>
      <c r="T18" s="35" t="str">
        <f aca="false">IF(C18="","",IF(I18="Enrolled","Enrolled — welcome them and ask for a referral",IF(I18="Lost","Closed out — add to a win-back nurture sequence",IF(Q18="Overdue","OVERDUE — contact "&amp;C18&amp;" today, follow-up was due "&amp;TEXT(K18,"m/d"),IF(R18="Hot","Priority call/text "&amp;C18&amp;" — high interest, "&amp;TEXT(N18,"$#,##0")&amp;" opportunity",IF(R18="Warm","Send "&amp;C18&amp;" info on the "&amp;M18&amp;" and confirm next step","Light-touch check-in with "&amp;C18&amp;" to re-engage"))))))</f>
        <v/>
      </c>
      <c r="U18" s="1" t="n">
        <f aca="false">IF(R18="Hot",N18+ROW()/100000,-1)</f>
        <v>-1</v>
      </c>
      <c r="V18" s="1" t="n">
        <f aca="false">IF(OR(Q18="Overdue",Q18="Due Today"),IF(Q18="Overdue",2000000,1000000)-ROW(),-1)</f>
        <v>-1</v>
      </c>
    </row>
    <row r="19" customFormat="false" ht="15" hidden="false" customHeight="true" outlineLevel="0" collapsed="false">
      <c r="A19" s="33"/>
      <c r="B19" s="39"/>
      <c r="C19" s="39"/>
      <c r="D19" s="39"/>
      <c r="E19" s="39"/>
      <c r="F19" s="39"/>
      <c r="G19" s="40"/>
      <c r="H19" s="39"/>
      <c r="I19" s="39"/>
      <c r="J19" s="39"/>
      <c r="K19" s="39"/>
      <c r="L19" s="39"/>
      <c r="M19" s="39"/>
      <c r="N19" s="41"/>
      <c r="O19" s="39"/>
      <c r="P19" s="33" t="str">
        <f aca="true">IF(B19="","",TODAY()-B19)</f>
        <v/>
      </c>
      <c r="Q19" s="33" t="str">
        <f aca="true">IF(OR(K19="",I19="Enrolled",I19="Lost"),"--",IF(K19&lt;TODAY(),"Overdue",IF(K19=TODAY(),"Due Today","Upcoming")))</f>
        <v>--</v>
      </c>
      <c r="R19" s="33" t="str">
        <f aca="false">IF(C19="","",IF(OR(I19="Enrolled",I19="Lost"),"Closed",IF(OR(I19="Appointment Booked",I19="Trial Completed",O19&gt;=5,AND(I19="Qualified",O19&gt;=4)),"Hot",IF(OR(I19="Qualified",I19="Contacted",O19=3),"Warm","Cold"))))</f>
        <v/>
      </c>
      <c r="S19" s="37" t="str">
        <f aca="false">IF(I19="","",IFERROR(INDEX(Reference!$B$4:$B$10,MATCH(I19,Reference!$A$4:$A$10,0)),0))</f>
        <v/>
      </c>
      <c r="T19" s="35" t="str">
        <f aca="false">IF(C19="","",IF(I19="Enrolled","Enrolled — welcome them and ask for a referral",IF(I19="Lost","Closed out — add to a win-back nurture sequence",IF(Q19="Overdue","OVERDUE — contact "&amp;C19&amp;" today, follow-up was due "&amp;TEXT(K19,"m/d"),IF(R19="Hot","Priority call/text "&amp;C19&amp;" — high interest, "&amp;TEXT(N19,"$#,##0")&amp;" opportunity",IF(R19="Warm","Send "&amp;C19&amp;" info on the "&amp;M19&amp;" and confirm next step","Light-touch check-in with "&amp;C19&amp;" to re-engage"))))))</f>
        <v/>
      </c>
      <c r="U19" s="1" t="n">
        <f aca="false">IF(R19="Hot",N19+ROW()/100000,-1)</f>
        <v>-1</v>
      </c>
      <c r="V19" s="1" t="n">
        <f aca="false">IF(OR(Q19="Overdue",Q19="Due Today"),IF(Q19="Overdue",2000000,1000000)-ROW(),-1)</f>
        <v>-1</v>
      </c>
    </row>
    <row r="20" customFormat="false" ht="15" hidden="false" customHeight="true" outlineLevel="0" collapsed="false">
      <c r="A20" s="33"/>
      <c r="B20" s="39"/>
      <c r="C20" s="39"/>
      <c r="D20" s="39"/>
      <c r="E20" s="39"/>
      <c r="F20" s="39"/>
      <c r="G20" s="40"/>
      <c r="H20" s="39"/>
      <c r="I20" s="39"/>
      <c r="J20" s="39"/>
      <c r="K20" s="39"/>
      <c r="L20" s="39"/>
      <c r="M20" s="39"/>
      <c r="N20" s="41"/>
      <c r="O20" s="39"/>
      <c r="P20" s="33" t="str">
        <f aca="true">IF(B20="","",TODAY()-B20)</f>
        <v/>
      </c>
      <c r="Q20" s="33" t="str">
        <f aca="true">IF(OR(K20="",I20="Enrolled",I20="Lost"),"--",IF(K20&lt;TODAY(),"Overdue",IF(K20=TODAY(),"Due Today","Upcoming")))</f>
        <v>--</v>
      </c>
      <c r="R20" s="33" t="str">
        <f aca="false">IF(C20="","",IF(OR(I20="Enrolled",I20="Lost"),"Closed",IF(OR(I20="Appointment Booked",I20="Trial Completed",O20&gt;=5,AND(I20="Qualified",O20&gt;=4)),"Hot",IF(OR(I20="Qualified",I20="Contacted",O20=3),"Warm","Cold"))))</f>
        <v/>
      </c>
      <c r="S20" s="37" t="str">
        <f aca="false">IF(I20="","",IFERROR(INDEX(Reference!$B$4:$B$10,MATCH(I20,Reference!$A$4:$A$10,0)),0))</f>
        <v/>
      </c>
      <c r="T20" s="35" t="str">
        <f aca="false">IF(C20="","",IF(I20="Enrolled","Enrolled — welcome them and ask for a referral",IF(I20="Lost","Closed out — add to a win-back nurture sequence",IF(Q20="Overdue","OVERDUE — contact "&amp;C20&amp;" today, follow-up was due "&amp;TEXT(K20,"m/d"),IF(R20="Hot","Priority call/text "&amp;C20&amp;" — high interest, "&amp;TEXT(N20,"$#,##0")&amp;" opportunity",IF(R20="Warm","Send "&amp;C20&amp;" info on the "&amp;M20&amp;" and confirm next step","Light-touch check-in with "&amp;C20&amp;" to re-engage"))))))</f>
        <v/>
      </c>
      <c r="U20" s="1" t="n">
        <f aca="false">IF(R20="Hot",N20+ROW()/100000,-1)</f>
        <v>-1</v>
      </c>
      <c r="V20" s="1" t="n">
        <f aca="false">IF(OR(Q20="Overdue",Q20="Due Today"),IF(Q20="Overdue",2000000,1000000)-ROW(),-1)</f>
        <v>-1</v>
      </c>
    </row>
    <row r="21" customFormat="false" ht="15" hidden="false" customHeight="true" outlineLevel="0" collapsed="false">
      <c r="A21" s="33"/>
      <c r="B21" s="39"/>
      <c r="C21" s="39"/>
      <c r="D21" s="39"/>
      <c r="E21" s="39"/>
      <c r="F21" s="39"/>
      <c r="G21" s="40"/>
      <c r="H21" s="39"/>
      <c r="I21" s="39"/>
      <c r="J21" s="39"/>
      <c r="K21" s="39"/>
      <c r="L21" s="39"/>
      <c r="M21" s="39"/>
      <c r="N21" s="41"/>
      <c r="O21" s="39"/>
      <c r="P21" s="33" t="str">
        <f aca="true">IF(B21="","",TODAY()-B21)</f>
        <v/>
      </c>
      <c r="Q21" s="33" t="str">
        <f aca="true">IF(OR(K21="",I21="Enrolled",I21="Lost"),"--",IF(K21&lt;TODAY(),"Overdue",IF(K21=TODAY(),"Due Today","Upcoming")))</f>
        <v>--</v>
      </c>
      <c r="R21" s="33" t="str">
        <f aca="false">IF(C21="","",IF(OR(I21="Enrolled",I21="Lost"),"Closed",IF(OR(I21="Appointment Booked",I21="Trial Completed",O21&gt;=5,AND(I21="Qualified",O21&gt;=4)),"Hot",IF(OR(I21="Qualified",I21="Contacted",O21=3),"Warm","Cold"))))</f>
        <v/>
      </c>
      <c r="S21" s="37" t="str">
        <f aca="false">IF(I21="","",IFERROR(INDEX(Reference!$B$4:$B$10,MATCH(I21,Reference!$A$4:$A$10,0)),0))</f>
        <v/>
      </c>
      <c r="T21" s="35" t="str">
        <f aca="false">IF(C21="","",IF(I21="Enrolled","Enrolled — welcome them and ask for a referral",IF(I21="Lost","Closed out — add to a win-back nurture sequence",IF(Q21="Overdue","OVERDUE — contact "&amp;C21&amp;" today, follow-up was due "&amp;TEXT(K21,"m/d"),IF(R21="Hot","Priority call/text "&amp;C21&amp;" — high interest, "&amp;TEXT(N21,"$#,##0")&amp;" opportunity",IF(R21="Warm","Send "&amp;C21&amp;" info on the "&amp;M21&amp;" and confirm next step","Light-touch check-in with "&amp;C21&amp;" to re-engage"))))))</f>
        <v/>
      </c>
      <c r="U21" s="1" t="n">
        <f aca="false">IF(R21="Hot",N21+ROW()/100000,-1)</f>
        <v>-1</v>
      </c>
      <c r="V21" s="1" t="n">
        <f aca="false">IF(OR(Q21="Overdue",Q21="Due Today"),IF(Q21="Overdue",2000000,1000000)-ROW(),-1)</f>
        <v>-1</v>
      </c>
    </row>
    <row r="22" customFormat="false" ht="15" hidden="false" customHeight="true" outlineLevel="0" collapsed="false">
      <c r="A22" s="33"/>
      <c r="B22" s="39"/>
      <c r="C22" s="39"/>
      <c r="D22" s="39"/>
      <c r="E22" s="39"/>
      <c r="F22" s="39"/>
      <c r="G22" s="40"/>
      <c r="H22" s="39"/>
      <c r="I22" s="39"/>
      <c r="J22" s="39"/>
      <c r="K22" s="39"/>
      <c r="L22" s="39"/>
      <c r="M22" s="39"/>
      <c r="N22" s="41"/>
      <c r="O22" s="39"/>
      <c r="P22" s="33" t="str">
        <f aca="true">IF(B22="","",TODAY()-B22)</f>
        <v/>
      </c>
      <c r="Q22" s="33" t="str">
        <f aca="true">IF(OR(K22="",I22="Enrolled",I22="Lost"),"--",IF(K22&lt;TODAY(),"Overdue",IF(K22=TODAY(),"Due Today","Upcoming")))</f>
        <v>--</v>
      </c>
      <c r="R22" s="33" t="str">
        <f aca="false">IF(C22="","",IF(OR(I22="Enrolled",I22="Lost"),"Closed",IF(OR(I22="Appointment Booked",I22="Trial Completed",O22&gt;=5,AND(I22="Qualified",O22&gt;=4)),"Hot",IF(OR(I22="Qualified",I22="Contacted",O22=3),"Warm","Cold"))))</f>
        <v/>
      </c>
      <c r="S22" s="37" t="str">
        <f aca="false">IF(I22="","",IFERROR(INDEX(Reference!$B$4:$B$10,MATCH(I22,Reference!$A$4:$A$10,0)),0))</f>
        <v/>
      </c>
      <c r="T22" s="35" t="str">
        <f aca="false">IF(C22="","",IF(I22="Enrolled","Enrolled — welcome them and ask for a referral",IF(I22="Lost","Closed out — add to a win-back nurture sequence",IF(Q22="Overdue","OVERDUE — contact "&amp;C22&amp;" today, follow-up was due "&amp;TEXT(K22,"m/d"),IF(R22="Hot","Priority call/text "&amp;C22&amp;" — high interest, "&amp;TEXT(N22,"$#,##0")&amp;" opportunity",IF(R22="Warm","Send "&amp;C22&amp;" info on the "&amp;M22&amp;" and confirm next step","Light-touch check-in with "&amp;C22&amp;" to re-engage"))))))</f>
        <v/>
      </c>
      <c r="U22" s="1" t="n">
        <f aca="false">IF(R22="Hot",N22+ROW()/100000,-1)</f>
        <v>-1</v>
      </c>
      <c r="V22" s="1" t="n">
        <f aca="false">IF(OR(Q22="Overdue",Q22="Due Today"),IF(Q22="Overdue",2000000,1000000)-ROW(),-1)</f>
        <v>-1</v>
      </c>
    </row>
    <row r="23" customFormat="false" ht="15" hidden="false" customHeight="true" outlineLevel="0" collapsed="false">
      <c r="A23" s="33"/>
      <c r="B23" s="39"/>
      <c r="C23" s="39"/>
      <c r="D23" s="39"/>
      <c r="E23" s="39"/>
      <c r="F23" s="39"/>
      <c r="G23" s="40"/>
      <c r="H23" s="39"/>
      <c r="I23" s="39"/>
      <c r="J23" s="39"/>
      <c r="K23" s="39"/>
      <c r="L23" s="39"/>
      <c r="M23" s="39"/>
      <c r="N23" s="41"/>
      <c r="O23" s="39"/>
      <c r="P23" s="33" t="str">
        <f aca="true">IF(B23="","",TODAY()-B23)</f>
        <v/>
      </c>
      <c r="Q23" s="33" t="str">
        <f aca="true">IF(OR(K23="",I23="Enrolled",I23="Lost"),"--",IF(K23&lt;TODAY(),"Overdue",IF(K23=TODAY(),"Due Today","Upcoming")))</f>
        <v>--</v>
      </c>
      <c r="R23" s="33" t="str">
        <f aca="false">IF(C23="","",IF(OR(I23="Enrolled",I23="Lost"),"Closed",IF(OR(I23="Appointment Booked",I23="Trial Completed",O23&gt;=5,AND(I23="Qualified",O23&gt;=4)),"Hot",IF(OR(I23="Qualified",I23="Contacted",O23=3),"Warm","Cold"))))</f>
        <v/>
      </c>
      <c r="S23" s="37" t="str">
        <f aca="false">IF(I23="","",IFERROR(INDEX(Reference!$B$4:$B$10,MATCH(I23,Reference!$A$4:$A$10,0)),0))</f>
        <v/>
      </c>
      <c r="T23" s="35" t="str">
        <f aca="false">IF(C23="","",IF(I23="Enrolled","Enrolled — welcome them and ask for a referral",IF(I23="Lost","Closed out — add to a win-back nurture sequence",IF(Q23="Overdue","OVERDUE — contact "&amp;C23&amp;" today, follow-up was due "&amp;TEXT(K23,"m/d"),IF(R23="Hot","Priority call/text "&amp;C23&amp;" — high interest, "&amp;TEXT(N23,"$#,##0")&amp;" opportunity",IF(R23="Warm","Send "&amp;C23&amp;" info on the "&amp;M23&amp;" and confirm next step","Light-touch check-in with "&amp;C23&amp;" to re-engage"))))))</f>
        <v/>
      </c>
      <c r="U23" s="1" t="n">
        <f aca="false">IF(R23="Hot",N23+ROW()/100000,-1)</f>
        <v>-1</v>
      </c>
      <c r="V23" s="1" t="n">
        <f aca="false">IF(OR(Q23="Overdue",Q23="Due Today"),IF(Q23="Overdue",2000000,1000000)-ROW(),-1)</f>
        <v>-1</v>
      </c>
    </row>
    <row r="24" customFormat="false" ht="15" hidden="false" customHeight="true" outlineLevel="0" collapsed="false">
      <c r="A24" s="33"/>
      <c r="B24" s="39"/>
      <c r="C24" s="39"/>
      <c r="D24" s="39"/>
      <c r="E24" s="39"/>
      <c r="F24" s="39"/>
      <c r="G24" s="40"/>
      <c r="H24" s="39"/>
      <c r="I24" s="39"/>
      <c r="J24" s="39"/>
      <c r="K24" s="39"/>
      <c r="L24" s="39"/>
      <c r="M24" s="39"/>
      <c r="N24" s="41"/>
      <c r="O24" s="39"/>
      <c r="P24" s="33" t="str">
        <f aca="true">IF(B24="","",TODAY()-B24)</f>
        <v/>
      </c>
      <c r="Q24" s="33" t="str">
        <f aca="true">IF(OR(K24="",I24="Enrolled",I24="Lost"),"--",IF(K24&lt;TODAY(),"Overdue",IF(K24=TODAY(),"Due Today","Upcoming")))</f>
        <v>--</v>
      </c>
      <c r="R24" s="33" t="str">
        <f aca="false">IF(C24="","",IF(OR(I24="Enrolled",I24="Lost"),"Closed",IF(OR(I24="Appointment Booked",I24="Trial Completed",O24&gt;=5,AND(I24="Qualified",O24&gt;=4)),"Hot",IF(OR(I24="Qualified",I24="Contacted",O24=3),"Warm","Cold"))))</f>
        <v/>
      </c>
      <c r="S24" s="37" t="str">
        <f aca="false">IF(I24="","",IFERROR(INDEX(Reference!$B$4:$B$10,MATCH(I24,Reference!$A$4:$A$10,0)),0))</f>
        <v/>
      </c>
      <c r="T24" s="35" t="str">
        <f aca="false">IF(C24="","",IF(I24="Enrolled","Enrolled — welcome them and ask for a referral",IF(I24="Lost","Closed out — add to a win-back nurture sequence",IF(Q24="Overdue","OVERDUE — contact "&amp;C24&amp;" today, follow-up was due "&amp;TEXT(K24,"m/d"),IF(R24="Hot","Priority call/text "&amp;C24&amp;" — high interest, "&amp;TEXT(N24,"$#,##0")&amp;" opportunity",IF(R24="Warm","Send "&amp;C24&amp;" info on the "&amp;M24&amp;" and confirm next step","Light-touch check-in with "&amp;C24&amp;" to re-engage"))))))</f>
        <v/>
      </c>
      <c r="U24" s="1" t="n">
        <f aca="false">IF(R24="Hot",N24+ROW()/100000,-1)</f>
        <v>-1</v>
      </c>
      <c r="V24" s="1" t="n">
        <f aca="false">IF(OR(Q24="Overdue",Q24="Due Today"),IF(Q24="Overdue",2000000,1000000)-ROW(),-1)</f>
        <v>-1</v>
      </c>
    </row>
    <row r="25" customFormat="false" ht="15" hidden="false" customHeight="true" outlineLevel="0" collapsed="false">
      <c r="A25" s="33"/>
      <c r="B25" s="39"/>
      <c r="C25" s="39"/>
      <c r="D25" s="39"/>
      <c r="E25" s="39"/>
      <c r="F25" s="39"/>
      <c r="G25" s="40"/>
      <c r="H25" s="39"/>
      <c r="I25" s="39"/>
      <c r="J25" s="39"/>
      <c r="K25" s="39"/>
      <c r="L25" s="39"/>
      <c r="M25" s="39"/>
      <c r="N25" s="41"/>
      <c r="O25" s="39"/>
      <c r="P25" s="33" t="str">
        <f aca="true">IF(B25="","",TODAY()-B25)</f>
        <v/>
      </c>
      <c r="Q25" s="33" t="str">
        <f aca="true">IF(OR(K25="",I25="Enrolled",I25="Lost"),"--",IF(K25&lt;TODAY(),"Overdue",IF(K25=TODAY(),"Due Today","Upcoming")))</f>
        <v>--</v>
      </c>
      <c r="R25" s="33" t="str">
        <f aca="false">IF(C25="","",IF(OR(I25="Enrolled",I25="Lost"),"Closed",IF(OR(I25="Appointment Booked",I25="Trial Completed",O25&gt;=5,AND(I25="Qualified",O25&gt;=4)),"Hot",IF(OR(I25="Qualified",I25="Contacted",O25=3),"Warm","Cold"))))</f>
        <v/>
      </c>
      <c r="S25" s="37" t="str">
        <f aca="false">IF(I25="","",IFERROR(INDEX(Reference!$B$4:$B$10,MATCH(I25,Reference!$A$4:$A$10,0)),0))</f>
        <v/>
      </c>
      <c r="T25" s="35" t="str">
        <f aca="false">IF(C25="","",IF(I25="Enrolled","Enrolled — welcome them and ask for a referral",IF(I25="Lost","Closed out — add to a win-back nurture sequence",IF(Q25="Overdue","OVERDUE — contact "&amp;C25&amp;" today, follow-up was due "&amp;TEXT(K25,"m/d"),IF(R25="Hot","Priority call/text "&amp;C25&amp;" — high interest, "&amp;TEXT(N25,"$#,##0")&amp;" opportunity",IF(R25="Warm","Send "&amp;C25&amp;" info on the "&amp;M25&amp;" and confirm next step","Light-touch check-in with "&amp;C25&amp;" to re-engage"))))))</f>
        <v/>
      </c>
      <c r="U25" s="1" t="n">
        <f aca="false">IF(R25="Hot",N25+ROW()/100000,-1)</f>
        <v>-1</v>
      </c>
      <c r="V25" s="1" t="n">
        <f aca="false">IF(OR(Q25="Overdue",Q25="Due Today"),IF(Q25="Overdue",2000000,1000000)-ROW(),-1)</f>
        <v>-1</v>
      </c>
    </row>
    <row r="26" customFormat="false" ht="15" hidden="false" customHeight="true" outlineLevel="0" collapsed="false">
      <c r="A26" s="33"/>
      <c r="B26" s="39"/>
      <c r="C26" s="39"/>
      <c r="D26" s="39"/>
      <c r="E26" s="39"/>
      <c r="F26" s="39"/>
      <c r="G26" s="40"/>
      <c r="H26" s="39"/>
      <c r="I26" s="39"/>
      <c r="J26" s="39"/>
      <c r="K26" s="39"/>
      <c r="L26" s="39"/>
      <c r="M26" s="39"/>
      <c r="N26" s="41"/>
      <c r="O26" s="39"/>
      <c r="P26" s="33" t="str">
        <f aca="true">IF(B26="","",TODAY()-B26)</f>
        <v/>
      </c>
      <c r="Q26" s="33" t="str">
        <f aca="true">IF(OR(K26="",I26="Enrolled",I26="Lost"),"--",IF(K26&lt;TODAY(),"Overdue",IF(K26=TODAY(),"Due Today","Upcoming")))</f>
        <v>--</v>
      </c>
      <c r="R26" s="33" t="str">
        <f aca="false">IF(C26="","",IF(OR(I26="Enrolled",I26="Lost"),"Closed",IF(OR(I26="Appointment Booked",I26="Trial Completed",O26&gt;=5,AND(I26="Qualified",O26&gt;=4)),"Hot",IF(OR(I26="Qualified",I26="Contacted",O26=3),"Warm","Cold"))))</f>
        <v/>
      </c>
      <c r="S26" s="37" t="str">
        <f aca="false">IF(I26="","",IFERROR(INDEX(Reference!$B$4:$B$10,MATCH(I26,Reference!$A$4:$A$10,0)),0))</f>
        <v/>
      </c>
      <c r="T26" s="35" t="str">
        <f aca="false">IF(C26="","",IF(I26="Enrolled","Enrolled — welcome them and ask for a referral",IF(I26="Lost","Closed out — add to a win-back nurture sequence",IF(Q26="Overdue","OVERDUE — contact "&amp;C26&amp;" today, follow-up was due "&amp;TEXT(K26,"m/d"),IF(R26="Hot","Priority call/text "&amp;C26&amp;" — high interest, "&amp;TEXT(N26,"$#,##0")&amp;" opportunity",IF(R26="Warm","Send "&amp;C26&amp;" info on the "&amp;M26&amp;" and confirm next step","Light-touch check-in with "&amp;C26&amp;" to re-engage"))))))</f>
        <v/>
      </c>
      <c r="U26" s="1" t="n">
        <f aca="false">IF(R26="Hot",N26+ROW()/100000,-1)</f>
        <v>-1</v>
      </c>
      <c r="V26" s="1" t="n">
        <f aca="false">IF(OR(Q26="Overdue",Q26="Due Today"),IF(Q26="Overdue",2000000,1000000)-ROW(),-1)</f>
        <v>-1</v>
      </c>
    </row>
    <row r="27" customFormat="false" ht="15" hidden="false" customHeight="true" outlineLevel="0" collapsed="false">
      <c r="A27" s="33"/>
      <c r="B27" s="39"/>
      <c r="C27" s="39"/>
      <c r="D27" s="39"/>
      <c r="E27" s="39"/>
      <c r="F27" s="39"/>
      <c r="G27" s="40"/>
      <c r="H27" s="39"/>
      <c r="I27" s="39"/>
      <c r="J27" s="39"/>
      <c r="K27" s="39"/>
      <c r="L27" s="39"/>
      <c r="M27" s="39"/>
      <c r="N27" s="41"/>
      <c r="O27" s="39"/>
      <c r="P27" s="33" t="str">
        <f aca="true">IF(B27="","",TODAY()-B27)</f>
        <v/>
      </c>
      <c r="Q27" s="33" t="str">
        <f aca="true">IF(OR(K27="",I27="Enrolled",I27="Lost"),"--",IF(K27&lt;TODAY(),"Overdue",IF(K27=TODAY(),"Due Today","Upcoming")))</f>
        <v>--</v>
      </c>
      <c r="R27" s="33" t="str">
        <f aca="false">IF(C27="","",IF(OR(I27="Enrolled",I27="Lost"),"Closed",IF(OR(I27="Appointment Booked",I27="Trial Completed",O27&gt;=5,AND(I27="Qualified",O27&gt;=4)),"Hot",IF(OR(I27="Qualified",I27="Contacted",O27=3),"Warm","Cold"))))</f>
        <v/>
      </c>
      <c r="S27" s="37" t="str">
        <f aca="false">IF(I27="","",IFERROR(INDEX(Reference!$B$4:$B$10,MATCH(I27,Reference!$A$4:$A$10,0)),0))</f>
        <v/>
      </c>
      <c r="T27" s="35" t="str">
        <f aca="false">IF(C27="","",IF(I27="Enrolled","Enrolled — welcome them and ask for a referral",IF(I27="Lost","Closed out — add to a win-back nurture sequence",IF(Q27="Overdue","OVERDUE — contact "&amp;C27&amp;" today, follow-up was due "&amp;TEXT(K27,"m/d"),IF(R27="Hot","Priority call/text "&amp;C27&amp;" — high interest, "&amp;TEXT(N27,"$#,##0")&amp;" opportunity",IF(R27="Warm","Send "&amp;C27&amp;" info on the "&amp;M27&amp;" and confirm next step","Light-touch check-in with "&amp;C27&amp;" to re-engage"))))))</f>
        <v/>
      </c>
      <c r="U27" s="1" t="n">
        <f aca="false">IF(R27="Hot",N27+ROW()/100000,-1)</f>
        <v>-1</v>
      </c>
      <c r="V27" s="1" t="n">
        <f aca="false">IF(OR(Q27="Overdue",Q27="Due Today"),IF(Q27="Overdue",2000000,1000000)-ROW(),-1)</f>
        <v>-1</v>
      </c>
    </row>
    <row r="28" customFormat="false" ht="15" hidden="false" customHeight="true" outlineLevel="0" collapsed="false">
      <c r="A28" s="33"/>
      <c r="B28" s="39"/>
      <c r="C28" s="39"/>
      <c r="D28" s="39"/>
      <c r="E28" s="39"/>
      <c r="F28" s="39"/>
      <c r="G28" s="40"/>
      <c r="H28" s="39"/>
      <c r="I28" s="39"/>
      <c r="J28" s="39"/>
      <c r="K28" s="39"/>
      <c r="L28" s="39"/>
      <c r="M28" s="39"/>
      <c r="N28" s="41"/>
      <c r="O28" s="39"/>
      <c r="P28" s="33" t="str">
        <f aca="true">IF(B28="","",TODAY()-B28)</f>
        <v/>
      </c>
      <c r="Q28" s="33" t="str">
        <f aca="true">IF(OR(K28="",I28="Enrolled",I28="Lost"),"--",IF(K28&lt;TODAY(),"Overdue",IF(K28=TODAY(),"Due Today","Upcoming")))</f>
        <v>--</v>
      </c>
      <c r="R28" s="33" t="str">
        <f aca="false">IF(C28="","",IF(OR(I28="Enrolled",I28="Lost"),"Closed",IF(OR(I28="Appointment Booked",I28="Trial Completed",O28&gt;=5,AND(I28="Qualified",O28&gt;=4)),"Hot",IF(OR(I28="Qualified",I28="Contacted",O28=3),"Warm","Cold"))))</f>
        <v/>
      </c>
      <c r="S28" s="37" t="str">
        <f aca="false">IF(I28="","",IFERROR(INDEX(Reference!$B$4:$B$10,MATCH(I28,Reference!$A$4:$A$10,0)),0))</f>
        <v/>
      </c>
      <c r="T28" s="35" t="str">
        <f aca="false">IF(C28="","",IF(I28="Enrolled","Enrolled — welcome them and ask for a referral",IF(I28="Lost","Closed out — add to a win-back nurture sequence",IF(Q28="Overdue","OVERDUE — contact "&amp;C28&amp;" today, follow-up was due "&amp;TEXT(K28,"m/d"),IF(R28="Hot","Priority call/text "&amp;C28&amp;" — high interest, "&amp;TEXT(N28,"$#,##0")&amp;" opportunity",IF(R28="Warm","Send "&amp;C28&amp;" info on the "&amp;M28&amp;" and confirm next step","Light-touch check-in with "&amp;C28&amp;" to re-engage"))))))</f>
        <v/>
      </c>
      <c r="U28" s="1" t="n">
        <f aca="false">IF(R28="Hot",N28+ROW()/100000,-1)</f>
        <v>-1</v>
      </c>
      <c r="V28" s="1" t="n">
        <f aca="false">IF(OR(Q28="Overdue",Q28="Due Today"),IF(Q28="Overdue",2000000,1000000)-ROW(),-1)</f>
        <v>-1</v>
      </c>
    </row>
    <row r="29" customFormat="false" ht="15" hidden="false" customHeight="true" outlineLevel="0" collapsed="false">
      <c r="A29" s="33"/>
      <c r="B29" s="39"/>
      <c r="C29" s="39"/>
      <c r="D29" s="39"/>
      <c r="E29" s="39"/>
      <c r="F29" s="39"/>
      <c r="G29" s="40"/>
      <c r="H29" s="39"/>
      <c r="I29" s="39"/>
      <c r="J29" s="39"/>
      <c r="K29" s="39"/>
      <c r="L29" s="39"/>
      <c r="M29" s="39"/>
      <c r="N29" s="41"/>
      <c r="O29" s="39"/>
      <c r="P29" s="33" t="str">
        <f aca="true">IF(B29="","",TODAY()-B29)</f>
        <v/>
      </c>
      <c r="Q29" s="33" t="str">
        <f aca="true">IF(OR(K29="",I29="Enrolled",I29="Lost"),"--",IF(K29&lt;TODAY(),"Overdue",IF(K29=TODAY(),"Due Today","Upcoming")))</f>
        <v>--</v>
      </c>
      <c r="R29" s="33" t="str">
        <f aca="false">IF(C29="","",IF(OR(I29="Enrolled",I29="Lost"),"Closed",IF(OR(I29="Appointment Booked",I29="Trial Completed",O29&gt;=5,AND(I29="Qualified",O29&gt;=4)),"Hot",IF(OR(I29="Qualified",I29="Contacted",O29=3),"Warm","Cold"))))</f>
        <v/>
      </c>
      <c r="S29" s="37" t="str">
        <f aca="false">IF(I29="","",IFERROR(INDEX(Reference!$B$4:$B$10,MATCH(I29,Reference!$A$4:$A$10,0)),0))</f>
        <v/>
      </c>
      <c r="T29" s="35" t="str">
        <f aca="false">IF(C29="","",IF(I29="Enrolled","Enrolled — welcome them and ask for a referral",IF(I29="Lost","Closed out — add to a win-back nurture sequence",IF(Q29="Overdue","OVERDUE — contact "&amp;C29&amp;" today, follow-up was due "&amp;TEXT(K29,"m/d"),IF(R29="Hot","Priority call/text "&amp;C29&amp;" — high interest, "&amp;TEXT(N29,"$#,##0")&amp;" opportunity",IF(R29="Warm","Send "&amp;C29&amp;" info on the "&amp;M29&amp;" and confirm next step","Light-touch check-in with "&amp;C29&amp;" to re-engage"))))))</f>
        <v/>
      </c>
      <c r="U29" s="1" t="n">
        <f aca="false">IF(R29="Hot",N29+ROW()/100000,-1)</f>
        <v>-1</v>
      </c>
      <c r="V29" s="1" t="n">
        <f aca="false">IF(OR(Q29="Overdue",Q29="Due Today"),IF(Q29="Overdue",2000000,1000000)-ROW(),-1)</f>
        <v>-1</v>
      </c>
    </row>
    <row r="30" customFormat="false" ht="15" hidden="false" customHeight="true" outlineLevel="0" collapsed="false">
      <c r="A30" s="33"/>
      <c r="B30" s="39"/>
      <c r="C30" s="39"/>
      <c r="D30" s="39"/>
      <c r="E30" s="39"/>
      <c r="F30" s="39"/>
      <c r="G30" s="40"/>
      <c r="H30" s="39"/>
      <c r="I30" s="39"/>
      <c r="J30" s="39"/>
      <c r="K30" s="39"/>
      <c r="L30" s="39"/>
      <c r="M30" s="39"/>
      <c r="N30" s="41"/>
      <c r="O30" s="39"/>
      <c r="P30" s="33" t="str">
        <f aca="true">IF(B30="","",TODAY()-B30)</f>
        <v/>
      </c>
      <c r="Q30" s="33" t="str">
        <f aca="true">IF(OR(K30="",I30="Enrolled",I30="Lost"),"--",IF(K30&lt;TODAY(),"Overdue",IF(K30=TODAY(),"Due Today","Upcoming")))</f>
        <v>--</v>
      </c>
      <c r="R30" s="33" t="str">
        <f aca="false">IF(C30="","",IF(OR(I30="Enrolled",I30="Lost"),"Closed",IF(OR(I30="Appointment Booked",I30="Trial Completed",O30&gt;=5,AND(I30="Qualified",O30&gt;=4)),"Hot",IF(OR(I30="Qualified",I30="Contacted",O30=3),"Warm","Cold"))))</f>
        <v/>
      </c>
      <c r="S30" s="37" t="str">
        <f aca="false">IF(I30="","",IFERROR(INDEX(Reference!$B$4:$B$10,MATCH(I30,Reference!$A$4:$A$10,0)),0))</f>
        <v/>
      </c>
      <c r="T30" s="35" t="str">
        <f aca="false">IF(C30="","",IF(I30="Enrolled","Enrolled — welcome them and ask for a referral",IF(I30="Lost","Closed out — add to a win-back nurture sequence",IF(Q30="Overdue","OVERDUE — contact "&amp;C30&amp;" today, follow-up was due "&amp;TEXT(K30,"m/d"),IF(R30="Hot","Priority call/text "&amp;C30&amp;" — high interest, "&amp;TEXT(N30,"$#,##0")&amp;" opportunity",IF(R30="Warm","Send "&amp;C30&amp;" info on the "&amp;M30&amp;" and confirm next step","Light-touch check-in with "&amp;C30&amp;" to re-engage"))))))</f>
        <v/>
      </c>
      <c r="U30" s="1" t="n">
        <f aca="false">IF(R30="Hot",N30+ROW()/100000,-1)</f>
        <v>-1</v>
      </c>
      <c r="V30" s="1" t="n">
        <f aca="false">IF(OR(Q30="Overdue",Q30="Due Today"),IF(Q30="Overdue",2000000,1000000)-ROW(),-1)</f>
        <v>-1</v>
      </c>
    </row>
    <row r="31" customFormat="false" ht="15" hidden="false" customHeight="true" outlineLevel="0" collapsed="false">
      <c r="A31" s="33"/>
      <c r="B31" s="39"/>
      <c r="C31" s="39"/>
      <c r="D31" s="39"/>
      <c r="E31" s="39"/>
      <c r="F31" s="39"/>
      <c r="G31" s="40"/>
      <c r="H31" s="39"/>
      <c r="I31" s="39"/>
      <c r="J31" s="39"/>
      <c r="K31" s="39"/>
      <c r="L31" s="39"/>
      <c r="M31" s="39"/>
      <c r="N31" s="41"/>
      <c r="O31" s="39"/>
      <c r="P31" s="33" t="str">
        <f aca="true">IF(B31="","",TODAY()-B31)</f>
        <v/>
      </c>
      <c r="Q31" s="33" t="str">
        <f aca="true">IF(OR(K31="",I31="Enrolled",I31="Lost"),"--",IF(K31&lt;TODAY(),"Overdue",IF(K31=TODAY(),"Due Today","Upcoming")))</f>
        <v>--</v>
      </c>
      <c r="R31" s="33" t="str">
        <f aca="false">IF(C31="","",IF(OR(I31="Enrolled",I31="Lost"),"Closed",IF(OR(I31="Appointment Booked",I31="Trial Completed",O31&gt;=5,AND(I31="Qualified",O31&gt;=4)),"Hot",IF(OR(I31="Qualified",I31="Contacted",O31=3),"Warm","Cold"))))</f>
        <v/>
      </c>
      <c r="S31" s="37" t="str">
        <f aca="false">IF(I31="","",IFERROR(INDEX(Reference!$B$4:$B$10,MATCH(I31,Reference!$A$4:$A$10,0)),0))</f>
        <v/>
      </c>
      <c r="T31" s="35" t="str">
        <f aca="false">IF(C31="","",IF(I31="Enrolled","Enrolled — welcome them and ask for a referral",IF(I31="Lost","Closed out — add to a win-back nurture sequence",IF(Q31="Overdue","OVERDUE — contact "&amp;C31&amp;" today, follow-up was due "&amp;TEXT(K31,"m/d"),IF(R31="Hot","Priority call/text "&amp;C31&amp;" — high interest, "&amp;TEXT(N31,"$#,##0")&amp;" opportunity",IF(R31="Warm","Send "&amp;C31&amp;" info on the "&amp;M31&amp;" and confirm next step","Light-touch check-in with "&amp;C31&amp;" to re-engage"))))))</f>
        <v/>
      </c>
      <c r="U31" s="1" t="n">
        <f aca="false">IF(R31="Hot",N31+ROW()/100000,-1)</f>
        <v>-1</v>
      </c>
      <c r="V31" s="1" t="n">
        <f aca="false">IF(OR(Q31="Overdue",Q31="Due Today"),IF(Q31="Overdue",2000000,1000000)-ROW(),-1)</f>
        <v>-1</v>
      </c>
    </row>
    <row r="32" customFormat="false" ht="15" hidden="false" customHeight="true" outlineLevel="0" collapsed="false">
      <c r="A32" s="33"/>
      <c r="B32" s="39"/>
      <c r="C32" s="39"/>
      <c r="D32" s="39"/>
      <c r="E32" s="39"/>
      <c r="F32" s="39"/>
      <c r="G32" s="40"/>
      <c r="H32" s="39"/>
      <c r="I32" s="39"/>
      <c r="J32" s="39"/>
      <c r="K32" s="39"/>
      <c r="L32" s="39"/>
      <c r="M32" s="39"/>
      <c r="N32" s="41"/>
      <c r="O32" s="39"/>
      <c r="P32" s="33" t="str">
        <f aca="true">IF(B32="","",TODAY()-B32)</f>
        <v/>
      </c>
      <c r="Q32" s="33" t="str">
        <f aca="true">IF(OR(K32="",I32="Enrolled",I32="Lost"),"--",IF(K32&lt;TODAY(),"Overdue",IF(K32=TODAY(),"Due Today","Upcoming")))</f>
        <v>--</v>
      </c>
      <c r="R32" s="33" t="str">
        <f aca="false">IF(C32="","",IF(OR(I32="Enrolled",I32="Lost"),"Closed",IF(OR(I32="Appointment Booked",I32="Trial Completed",O32&gt;=5,AND(I32="Qualified",O32&gt;=4)),"Hot",IF(OR(I32="Qualified",I32="Contacted",O32=3),"Warm","Cold"))))</f>
        <v/>
      </c>
      <c r="S32" s="37" t="str">
        <f aca="false">IF(I32="","",IFERROR(INDEX(Reference!$B$4:$B$10,MATCH(I32,Reference!$A$4:$A$10,0)),0))</f>
        <v/>
      </c>
      <c r="T32" s="35" t="str">
        <f aca="false">IF(C32="","",IF(I32="Enrolled","Enrolled — welcome them and ask for a referral",IF(I32="Lost","Closed out — add to a win-back nurture sequence",IF(Q32="Overdue","OVERDUE — contact "&amp;C32&amp;" today, follow-up was due "&amp;TEXT(K32,"m/d"),IF(R32="Hot","Priority call/text "&amp;C32&amp;" — high interest, "&amp;TEXT(N32,"$#,##0")&amp;" opportunity",IF(R32="Warm","Send "&amp;C32&amp;" info on the "&amp;M32&amp;" and confirm next step","Light-touch check-in with "&amp;C32&amp;" to re-engage"))))))</f>
        <v/>
      </c>
      <c r="U32" s="1" t="n">
        <f aca="false">IF(R32="Hot",N32+ROW()/100000,-1)</f>
        <v>-1</v>
      </c>
      <c r="V32" s="1" t="n">
        <f aca="false">IF(OR(Q32="Overdue",Q32="Due Today"),IF(Q32="Overdue",2000000,1000000)-ROW(),-1)</f>
        <v>-1</v>
      </c>
    </row>
    <row r="33" customFormat="false" ht="15" hidden="false" customHeight="true" outlineLevel="0" collapsed="false">
      <c r="A33" s="33"/>
      <c r="B33" s="39"/>
      <c r="C33" s="39"/>
      <c r="D33" s="39"/>
      <c r="E33" s="39"/>
      <c r="F33" s="39"/>
      <c r="G33" s="40"/>
      <c r="H33" s="39"/>
      <c r="I33" s="39"/>
      <c r="J33" s="39"/>
      <c r="K33" s="39"/>
      <c r="L33" s="39"/>
      <c r="M33" s="39"/>
      <c r="N33" s="41"/>
      <c r="O33" s="39"/>
      <c r="P33" s="33" t="str">
        <f aca="true">IF(B33="","",TODAY()-B33)</f>
        <v/>
      </c>
      <c r="Q33" s="33" t="str">
        <f aca="true">IF(OR(K33="",I33="Enrolled",I33="Lost"),"--",IF(K33&lt;TODAY(),"Overdue",IF(K33=TODAY(),"Due Today","Upcoming")))</f>
        <v>--</v>
      </c>
      <c r="R33" s="33" t="str">
        <f aca="false">IF(C33="","",IF(OR(I33="Enrolled",I33="Lost"),"Closed",IF(OR(I33="Appointment Booked",I33="Trial Completed",O33&gt;=5,AND(I33="Qualified",O33&gt;=4)),"Hot",IF(OR(I33="Qualified",I33="Contacted",O33=3),"Warm","Cold"))))</f>
        <v/>
      </c>
      <c r="S33" s="37" t="str">
        <f aca="false">IF(I33="","",IFERROR(INDEX(Reference!$B$4:$B$10,MATCH(I33,Reference!$A$4:$A$10,0)),0))</f>
        <v/>
      </c>
      <c r="T33" s="35" t="str">
        <f aca="false">IF(C33="","",IF(I33="Enrolled","Enrolled — welcome them and ask for a referral",IF(I33="Lost","Closed out — add to a win-back nurture sequence",IF(Q33="Overdue","OVERDUE — contact "&amp;C33&amp;" today, follow-up was due "&amp;TEXT(K33,"m/d"),IF(R33="Hot","Priority call/text "&amp;C33&amp;" — high interest, "&amp;TEXT(N33,"$#,##0")&amp;" opportunity",IF(R33="Warm","Send "&amp;C33&amp;" info on the "&amp;M33&amp;" and confirm next step","Light-touch check-in with "&amp;C33&amp;" to re-engage"))))))</f>
        <v/>
      </c>
      <c r="U33" s="1" t="n">
        <f aca="false">IF(R33="Hot",N33+ROW()/100000,-1)</f>
        <v>-1</v>
      </c>
      <c r="V33" s="1" t="n">
        <f aca="false">IF(OR(Q33="Overdue",Q33="Due Today"),IF(Q33="Overdue",2000000,1000000)-ROW(),-1)</f>
        <v>-1</v>
      </c>
    </row>
    <row r="34" customFormat="false" ht="15" hidden="false" customHeight="true" outlineLevel="0" collapsed="false">
      <c r="A34" s="33"/>
      <c r="B34" s="39"/>
      <c r="C34" s="39"/>
      <c r="D34" s="39"/>
      <c r="E34" s="39"/>
      <c r="F34" s="39"/>
      <c r="G34" s="40"/>
      <c r="H34" s="39"/>
      <c r="I34" s="39"/>
      <c r="J34" s="39"/>
      <c r="K34" s="39"/>
      <c r="L34" s="39"/>
      <c r="M34" s="39"/>
      <c r="N34" s="41"/>
      <c r="O34" s="39"/>
      <c r="P34" s="33" t="str">
        <f aca="true">IF(B34="","",TODAY()-B34)</f>
        <v/>
      </c>
      <c r="Q34" s="33" t="str">
        <f aca="true">IF(OR(K34="",I34="Enrolled",I34="Lost"),"--",IF(K34&lt;TODAY(),"Overdue",IF(K34=TODAY(),"Due Today","Upcoming")))</f>
        <v>--</v>
      </c>
      <c r="R34" s="33" t="str">
        <f aca="false">IF(C34="","",IF(OR(I34="Enrolled",I34="Lost"),"Closed",IF(OR(I34="Appointment Booked",I34="Trial Completed",O34&gt;=5,AND(I34="Qualified",O34&gt;=4)),"Hot",IF(OR(I34="Qualified",I34="Contacted",O34=3),"Warm","Cold"))))</f>
        <v/>
      </c>
      <c r="S34" s="37" t="str">
        <f aca="false">IF(I34="","",IFERROR(INDEX(Reference!$B$4:$B$10,MATCH(I34,Reference!$A$4:$A$10,0)),0))</f>
        <v/>
      </c>
      <c r="T34" s="35" t="str">
        <f aca="false">IF(C34="","",IF(I34="Enrolled","Enrolled — welcome them and ask for a referral",IF(I34="Lost","Closed out — add to a win-back nurture sequence",IF(Q34="Overdue","OVERDUE — contact "&amp;C34&amp;" today, follow-up was due "&amp;TEXT(K34,"m/d"),IF(R34="Hot","Priority call/text "&amp;C34&amp;" — high interest, "&amp;TEXT(N34,"$#,##0")&amp;" opportunity",IF(R34="Warm","Send "&amp;C34&amp;" info on the "&amp;M34&amp;" and confirm next step","Light-touch check-in with "&amp;C34&amp;" to re-engage"))))))</f>
        <v/>
      </c>
      <c r="U34" s="1" t="n">
        <f aca="false">IF(R34="Hot",N34+ROW()/100000,-1)</f>
        <v>-1</v>
      </c>
      <c r="V34" s="1" t="n">
        <f aca="false">IF(OR(Q34="Overdue",Q34="Due Today"),IF(Q34="Overdue",2000000,1000000)-ROW(),-1)</f>
        <v>-1</v>
      </c>
    </row>
    <row r="35" customFormat="false" ht="15" hidden="false" customHeight="true" outlineLevel="0" collapsed="false">
      <c r="A35" s="33"/>
      <c r="B35" s="39"/>
      <c r="C35" s="39"/>
      <c r="D35" s="39"/>
      <c r="E35" s="39"/>
      <c r="F35" s="39"/>
      <c r="G35" s="40"/>
      <c r="H35" s="39"/>
      <c r="I35" s="39"/>
      <c r="J35" s="39"/>
      <c r="K35" s="39"/>
      <c r="L35" s="39"/>
      <c r="M35" s="39"/>
      <c r="N35" s="41"/>
      <c r="O35" s="39"/>
      <c r="P35" s="33" t="str">
        <f aca="true">IF(B35="","",TODAY()-B35)</f>
        <v/>
      </c>
      <c r="Q35" s="33" t="str">
        <f aca="true">IF(OR(K35="",I35="Enrolled",I35="Lost"),"--",IF(K35&lt;TODAY(),"Overdue",IF(K35=TODAY(),"Due Today","Upcoming")))</f>
        <v>--</v>
      </c>
      <c r="R35" s="33" t="str">
        <f aca="false">IF(C35="","",IF(OR(I35="Enrolled",I35="Lost"),"Closed",IF(OR(I35="Appointment Booked",I35="Trial Completed",O35&gt;=5,AND(I35="Qualified",O35&gt;=4)),"Hot",IF(OR(I35="Qualified",I35="Contacted",O35=3),"Warm","Cold"))))</f>
        <v/>
      </c>
      <c r="S35" s="37" t="str">
        <f aca="false">IF(I35="","",IFERROR(INDEX(Reference!$B$4:$B$10,MATCH(I35,Reference!$A$4:$A$10,0)),0))</f>
        <v/>
      </c>
      <c r="T35" s="35" t="str">
        <f aca="false">IF(C35="","",IF(I35="Enrolled","Enrolled — welcome them and ask for a referral",IF(I35="Lost","Closed out — add to a win-back nurture sequence",IF(Q35="Overdue","OVERDUE — contact "&amp;C35&amp;" today, follow-up was due "&amp;TEXT(K35,"m/d"),IF(R35="Hot","Priority call/text "&amp;C35&amp;" — high interest, "&amp;TEXT(N35,"$#,##0")&amp;" opportunity",IF(R35="Warm","Send "&amp;C35&amp;" info on the "&amp;M35&amp;" and confirm next step","Light-touch check-in with "&amp;C35&amp;" to re-engage"))))))</f>
        <v/>
      </c>
      <c r="U35" s="1" t="n">
        <f aca="false">IF(R35="Hot",N35+ROW()/100000,-1)</f>
        <v>-1</v>
      </c>
      <c r="V35" s="1" t="n">
        <f aca="false">IF(OR(Q35="Overdue",Q35="Due Today"),IF(Q35="Overdue",2000000,1000000)-ROW(),-1)</f>
        <v>-1</v>
      </c>
    </row>
    <row r="36" customFormat="false" ht="15" hidden="false" customHeight="true" outlineLevel="0" collapsed="false">
      <c r="A36" s="33"/>
      <c r="B36" s="39"/>
      <c r="C36" s="39"/>
      <c r="D36" s="39"/>
      <c r="E36" s="39"/>
      <c r="F36" s="39"/>
      <c r="G36" s="40"/>
      <c r="H36" s="39"/>
      <c r="I36" s="39"/>
      <c r="J36" s="39"/>
      <c r="K36" s="39"/>
      <c r="L36" s="39"/>
      <c r="M36" s="39"/>
      <c r="N36" s="41"/>
      <c r="O36" s="39"/>
      <c r="P36" s="33" t="str">
        <f aca="true">IF(B36="","",TODAY()-B36)</f>
        <v/>
      </c>
      <c r="Q36" s="33" t="str">
        <f aca="true">IF(OR(K36="",I36="Enrolled",I36="Lost"),"--",IF(K36&lt;TODAY(),"Overdue",IF(K36=TODAY(),"Due Today","Upcoming")))</f>
        <v>--</v>
      </c>
      <c r="R36" s="33" t="str">
        <f aca="false">IF(C36="","",IF(OR(I36="Enrolled",I36="Lost"),"Closed",IF(OR(I36="Appointment Booked",I36="Trial Completed",O36&gt;=5,AND(I36="Qualified",O36&gt;=4)),"Hot",IF(OR(I36="Qualified",I36="Contacted",O36=3),"Warm","Cold"))))</f>
        <v/>
      </c>
      <c r="S36" s="37" t="str">
        <f aca="false">IF(I36="","",IFERROR(INDEX(Reference!$B$4:$B$10,MATCH(I36,Reference!$A$4:$A$10,0)),0))</f>
        <v/>
      </c>
      <c r="T36" s="35" t="str">
        <f aca="false">IF(C36="","",IF(I36="Enrolled","Enrolled — welcome them and ask for a referral",IF(I36="Lost","Closed out — add to a win-back nurture sequence",IF(Q36="Overdue","OVERDUE — contact "&amp;C36&amp;" today, follow-up was due "&amp;TEXT(K36,"m/d"),IF(R36="Hot","Priority call/text "&amp;C36&amp;" — high interest, "&amp;TEXT(N36,"$#,##0")&amp;" opportunity",IF(R36="Warm","Send "&amp;C36&amp;" info on the "&amp;M36&amp;" and confirm next step","Light-touch check-in with "&amp;C36&amp;" to re-engage"))))))</f>
        <v/>
      </c>
      <c r="U36" s="1" t="n">
        <f aca="false">IF(R36="Hot",N36+ROW()/100000,-1)</f>
        <v>-1</v>
      </c>
      <c r="V36" s="1" t="n">
        <f aca="false">IF(OR(Q36="Overdue",Q36="Due Today"),IF(Q36="Overdue",2000000,1000000)-ROW(),-1)</f>
        <v>-1</v>
      </c>
    </row>
    <row r="37" customFormat="false" ht="15" hidden="false" customHeight="true" outlineLevel="0" collapsed="false">
      <c r="A37" s="33"/>
      <c r="B37" s="39"/>
      <c r="C37" s="39"/>
      <c r="D37" s="39"/>
      <c r="E37" s="39"/>
      <c r="F37" s="39"/>
      <c r="G37" s="40"/>
      <c r="H37" s="39"/>
      <c r="I37" s="39"/>
      <c r="J37" s="39"/>
      <c r="K37" s="39"/>
      <c r="L37" s="39"/>
      <c r="M37" s="39"/>
      <c r="N37" s="41"/>
      <c r="O37" s="39"/>
      <c r="P37" s="33" t="str">
        <f aca="true">IF(B37="","",TODAY()-B37)</f>
        <v/>
      </c>
      <c r="Q37" s="33" t="str">
        <f aca="true">IF(OR(K37="",I37="Enrolled",I37="Lost"),"--",IF(K37&lt;TODAY(),"Overdue",IF(K37=TODAY(),"Due Today","Upcoming")))</f>
        <v>--</v>
      </c>
      <c r="R37" s="33" t="str">
        <f aca="false">IF(C37="","",IF(OR(I37="Enrolled",I37="Lost"),"Closed",IF(OR(I37="Appointment Booked",I37="Trial Completed",O37&gt;=5,AND(I37="Qualified",O37&gt;=4)),"Hot",IF(OR(I37="Qualified",I37="Contacted",O37=3),"Warm","Cold"))))</f>
        <v/>
      </c>
      <c r="S37" s="37" t="str">
        <f aca="false">IF(I37="","",IFERROR(INDEX(Reference!$B$4:$B$10,MATCH(I37,Reference!$A$4:$A$10,0)),0))</f>
        <v/>
      </c>
      <c r="T37" s="35" t="str">
        <f aca="false">IF(C37="","",IF(I37="Enrolled","Enrolled — welcome them and ask for a referral",IF(I37="Lost","Closed out — add to a win-back nurture sequence",IF(Q37="Overdue","OVERDUE — contact "&amp;C37&amp;" today, follow-up was due "&amp;TEXT(K37,"m/d"),IF(R37="Hot","Priority call/text "&amp;C37&amp;" — high interest, "&amp;TEXT(N37,"$#,##0")&amp;" opportunity",IF(R37="Warm","Send "&amp;C37&amp;" info on the "&amp;M37&amp;" and confirm next step","Light-touch check-in with "&amp;C37&amp;" to re-engage"))))))</f>
        <v/>
      </c>
      <c r="U37" s="1" t="n">
        <f aca="false">IF(R37="Hot",N37+ROW()/100000,-1)</f>
        <v>-1</v>
      </c>
      <c r="V37" s="1" t="n">
        <f aca="false">IF(OR(Q37="Overdue",Q37="Due Today"),IF(Q37="Overdue",2000000,1000000)-ROW(),-1)</f>
        <v>-1</v>
      </c>
    </row>
    <row r="38" customFormat="false" ht="15" hidden="false" customHeight="true" outlineLevel="0" collapsed="false">
      <c r="A38" s="33"/>
      <c r="B38" s="39"/>
      <c r="C38" s="39"/>
      <c r="D38" s="39"/>
      <c r="E38" s="39"/>
      <c r="F38" s="39"/>
      <c r="G38" s="40"/>
      <c r="H38" s="39"/>
      <c r="I38" s="39"/>
      <c r="J38" s="39"/>
      <c r="K38" s="39"/>
      <c r="L38" s="39"/>
      <c r="M38" s="39"/>
      <c r="N38" s="41"/>
      <c r="O38" s="39"/>
      <c r="P38" s="33" t="str">
        <f aca="true">IF(B38="","",TODAY()-B38)</f>
        <v/>
      </c>
      <c r="Q38" s="33" t="str">
        <f aca="true">IF(OR(K38="",I38="Enrolled",I38="Lost"),"--",IF(K38&lt;TODAY(),"Overdue",IF(K38=TODAY(),"Due Today","Upcoming")))</f>
        <v>--</v>
      </c>
      <c r="R38" s="33" t="str">
        <f aca="false">IF(C38="","",IF(OR(I38="Enrolled",I38="Lost"),"Closed",IF(OR(I38="Appointment Booked",I38="Trial Completed",O38&gt;=5,AND(I38="Qualified",O38&gt;=4)),"Hot",IF(OR(I38="Qualified",I38="Contacted",O38=3),"Warm","Cold"))))</f>
        <v/>
      </c>
      <c r="S38" s="37" t="str">
        <f aca="false">IF(I38="","",IFERROR(INDEX(Reference!$B$4:$B$10,MATCH(I38,Reference!$A$4:$A$10,0)),0))</f>
        <v/>
      </c>
      <c r="T38" s="35" t="str">
        <f aca="false">IF(C38="","",IF(I38="Enrolled","Enrolled — welcome them and ask for a referral",IF(I38="Lost","Closed out — add to a win-back nurture sequence",IF(Q38="Overdue","OVERDUE — contact "&amp;C38&amp;" today, follow-up was due "&amp;TEXT(K38,"m/d"),IF(R38="Hot","Priority call/text "&amp;C38&amp;" — high interest, "&amp;TEXT(N38,"$#,##0")&amp;" opportunity",IF(R38="Warm","Send "&amp;C38&amp;" info on the "&amp;M38&amp;" and confirm next step","Light-touch check-in with "&amp;C38&amp;" to re-engage"))))))</f>
        <v/>
      </c>
      <c r="U38" s="1" t="n">
        <f aca="false">IF(R38="Hot",N38+ROW()/100000,-1)</f>
        <v>-1</v>
      </c>
      <c r="V38" s="1" t="n">
        <f aca="false">IF(OR(Q38="Overdue",Q38="Due Today"),IF(Q38="Overdue",2000000,1000000)-ROW(),-1)</f>
        <v>-1</v>
      </c>
    </row>
    <row r="39" customFormat="false" ht="15" hidden="false" customHeight="true" outlineLevel="0" collapsed="false">
      <c r="A39" s="33"/>
      <c r="B39" s="39"/>
      <c r="C39" s="39"/>
      <c r="D39" s="39"/>
      <c r="E39" s="39"/>
      <c r="F39" s="39"/>
      <c r="G39" s="40"/>
      <c r="H39" s="39"/>
      <c r="I39" s="39"/>
      <c r="J39" s="39"/>
      <c r="K39" s="39"/>
      <c r="L39" s="39"/>
      <c r="M39" s="39"/>
      <c r="N39" s="41"/>
      <c r="O39" s="39"/>
      <c r="P39" s="33" t="str">
        <f aca="true">IF(B39="","",TODAY()-B39)</f>
        <v/>
      </c>
      <c r="Q39" s="33" t="str">
        <f aca="true">IF(OR(K39="",I39="Enrolled",I39="Lost"),"--",IF(K39&lt;TODAY(),"Overdue",IF(K39=TODAY(),"Due Today","Upcoming")))</f>
        <v>--</v>
      </c>
      <c r="R39" s="33" t="str">
        <f aca="false">IF(C39="","",IF(OR(I39="Enrolled",I39="Lost"),"Closed",IF(OR(I39="Appointment Booked",I39="Trial Completed",O39&gt;=5,AND(I39="Qualified",O39&gt;=4)),"Hot",IF(OR(I39="Qualified",I39="Contacted",O39=3),"Warm","Cold"))))</f>
        <v/>
      </c>
      <c r="S39" s="37" t="str">
        <f aca="false">IF(I39="","",IFERROR(INDEX(Reference!$B$4:$B$10,MATCH(I39,Reference!$A$4:$A$10,0)),0))</f>
        <v/>
      </c>
      <c r="T39" s="35" t="str">
        <f aca="false">IF(C39="","",IF(I39="Enrolled","Enrolled — welcome them and ask for a referral",IF(I39="Lost","Closed out — add to a win-back nurture sequence",IF(Q39="Overdue","OVERDUE — contact "&amp;C39&amp;" today, follow-up was due "&amp;TEXT(K39,"m/d"),IF(R39="Hot","Priority call/text "&amp;C39&amp;" — high interest, "&amp;TEXT(N39,"$#,##0")&amp;" opportunity",IF(R39="Warm","Send "&amp;C39&amp;" info on the "&amp;M39&amp;" and confirm next step","Light-touch check-in with "&amp;C39&amp;" to re-engage"))))))</f>
        <v/>
      </c>
      <c r="U39" s="1" t="n">
        <f aca="false">IF(R39="Hot",N39+ROW()/100000,-1)</f>
        <v>-1</v>
      </c>
      <c r="V39" s="1" t="n">
        <f aca="false">IF(OR(Q39="Overdue",Q39="Due Today"),IF(Q39="Overdue",2000000,1000000)-ROW(),-1)</f>
        <v>-1</v>
      </c>
    </row>
    <row r="40" customFormat="false" ht="15" hidden="false" customHeight="true" outlineLevel="0" collapsed="false">
      <c r="A40" s="33"/>
      <c r="B40" s="39"/>
      <c r="C40" s="39"/>
      <c r="D40" s="39"/>
      <c r="E40" s="39"/>
      <c r="F40" s="39"/>
      <c r="G40" s="40"/>
      <c r="H40" s="39"/>
      <c r="I40" s="39"/>
      <c r="J40" s="39"/>
      <c r="K40" s="39"/>
      <c r="L40" s="39"/>
      <c r="M40" s="39"/>
      <c r="N40" s="41"/>
      <c r="O40" s="39"/>
      <c r="P40" s="33" t="str">
        <f aca="true">IF(B40="","",TODAY()-B40)</f>
        <v/>
      </c>
      <c r="Q40" s="33" t="str">
        <f aca="true">IF(OR(K40="",I40="Enrolled",I40="Lost"),"--",IF(K40&lt;TODAY(),"Overdue",IF(K40=TODAY(),"Due Today","Upcoming")))</f>
        <v>--</v>
      </c>
      <c r="R40" s="33" t="str">
        <f aca="false">IF(C40="","",IF(OR(I40="Enrolled",I40="Lost"),"Closed",IF(OR(I40="Appointment Booked",I40="Trial Completed",O40&gt;=5,AND(I40="Qualified",O40&gt;=4)),"Hot",IF(OR(I40="Qualified",I40="Contacted",O40=3),"Warm","Cold"))))</f>
        <v/>
      </c>
      <c r="S40" s="37" t="str">
        <f aca="false">IF(I40="","",IFERROR(INDEX(Reference!$B$4:$B$10,MATCH(I40,Reference!$A$4:$A$10,0)),0))</f>
        <v/>
      </c>
      <c r="T40" s="35" t="str">
        <f aca="false">IF(C40="","",IF(I40="Enrolled","Enrolled — welcome them and ask for a referral",IF(I40="Lost","Closed out — add to a win-back nurture sequence",IF(Q40="Overdue","OVERDUE — contact "&amp;C40&amp;" today, follow-up was due "&amp;TEXT(K40,"m/d"),IF(R40="Hot","Priority call/text "&amp;C40&amp;" — high interest, "&amp;TEXT(N40,"$#,##0")&amp;" opportunity",IF(R40="Warm","Send "&amp;C40&amp;" info on the "&amp;M40&amp;" and confirm next step","Light-touch check-in with "&amp;C40&amp;" to re-engage"))))))</f>
        <v/>
      </c>
      <c r="U40" s="1" t="n">
        <f aca="false">IF(R40="Hot",N40+ROW()/100000,-1)</f>
        <v>-1</v>
      </c>
      <c r="V40" s="1" t="n">
        <f aca="false">IF(OR(Q40="Overdue",Q40="Due Today"),IF(Q40="Overdue",2000000,1000000)-ROW(),-1)</f>
        <v>-1</v>
      </c>
    </row>
    <row r="41" customFormat="false" ht="15" hidden="false" customHeight="true" outlineLevel="0" collapsed="false">
      <c r="A41" s="33"/>
      <c r="B41" s="39"/>
      <c r="C41" s="39"/>
      <c r="D41" s="39"/>
      <c r="E41" s="39"/>
      <c r="F41" s="39"/>
      <c r="G41" s="40"/>
      <c r="H41" s="39"/>
      <c r="I41" s="39"/>
      <c r="J41" s="39"/>
      <c r="K41" s="39"/>
      <c r="L41" s="39"/>
      <c r="M41" s="39"/>
      <c r="N41" s="41"/>
      <c r="O41" s="39"/>
      <c r="P41" s="33" t="str">
        <f aca="true">IF(B41="","",TODAY()-B41)</f>
        <v/>
      </c>
      <c r="Q41" s="33" t="str">
        <f aca="true">IF(OR(K41="",I41="Enrolled",I41="Lost"),"--",IF(K41&lt;TODAY(),"Overdue",IF(K41=TODAY(),"Due Today","Upcoming")))</f>
        <v>--</v>
      </c>
      <c r="R41" s="33" t="str">
        <f aca="false">IF(C41="","",IF(OR(I41="Enrolled",I41="Lost"),"Closed",IF(OR(I41="Appointment Booked",I41="Trial Completed",O41&gt;=5,AND(I41="Qualified",O41&gt;=4)),"Hot",IF(OR(I41="Qualified",I41="Contacted",O41=3),"Warm","Cold"))))</f>
        <v/>
      </c>
      <c r="S41" s="37" t="str">
        <f aca="false">IF(I41="","",IFERROR(INDEX(Reference!$B$4:$B$10,MATCH(I41,Reference!$A$4:$A$10,0)),0))</f>
        <v/>
      </c>
      <c r="T41" s="35" t="str">
        <f aca="false">IF(C41="","",IF(I41="Enrolled","Enrolled — welcome them and ask for a referral",IF(I41="Lost","Closed out — add to a win-back nurture sequence",IF(Q41="Overdue","OVERDUE — contact "&amp;C41&amp;" today, follow-up was due "&amp;TEXT(K41,"m/d"),IF(R41="Hot","Priority call/text "&amp;C41&amp;" — high interest, "&amp;TEXT(N41,"$#,##0")&amp;" opportunity",IF(R41="Warm","Send "&amp;C41&amp;" info on the "&amp;M41&amp;" and confirm next step","Light-touch check-in with "&amp;C41&amp;" to re-engage"))))))</f>
        <v/>
      </c>
      <c r="U41" s="1" t="n">
        <f aca="false">IF(R41="Hot",N41+ROW()/100000,-1)</f>
        <v>-1</v>
      </c>
      <c r="V41" s="1" t="n">
        <f aca="false">IF(OR(Q41="Overdue",Q41="Due Today"),IF(Q41="Overdue",2000000,1000000)-ROW(),-1)</f>
        <v>-1</v>
      </c>
    </row>
    <row r="42" customFormat="false" ht="15" hidden="false" customHeight="true" outlineLevel="0" collapsed="false">
      <c r="A42" s="33"/>
      <c r="B42" s="39"/>
      <c r="C42" s="39"/>
      <c r="D42" s="39"/>
      <c r="E42" s="39"/>
      <c r="F42" s="39"/>
      <c r="G42" s="40"/>
      <c r="H42" s="39"/>
      <c r="I42" s="39"/>
      <c r="J42" s="39"/>
      <c r="K42" s="39"/>
      <c r="L42" s="39"/>
      <c r="M42" s="39"/>
      <c r="N42" s="41"/>
      <c r="O42" s="39"/>
      <c r="P42" s="33" t="str">
        <f aca="true">IF(B42="","",TODAY()-B42)</f>
        <v/>
      </c>
      <c r="Q42" s="33" t="str">
        <f aca="true">IF(OR(K42="",I42="Enrolled",I42="Lost"),"--",IF(K42&lt;TODAY(),"Overdue",IF(K42=TODAY(),"Due Today","Upcoming")))</f>
        <v>--</v>
      </c>
      <c r="R42" s="33" t="str">
        <f aca="false">IF(C42="","",IF(OR(I42="Enrolled",I42="Lost"),"Closed",IF(OR(I42="Appointment Booked",I42="Trial Completed",O42&gt;=5,AND(I42="Qualified",O42&gt;=4)),"Hot",IF(OR(I42="Qualified",I42="Contacted",O42=3),"Warm","Cold"))))</f>
        <v/>
      </c>
      <c r="S42" s="37" t="str">
        <f aca="false">IF(I42="","",IFERROR(INDEX(Reference!$B$4:$B$10,MATCH(I42,Reference!$A$4:$A$10,0)),0))</f>
        <v/>
      </c>
      <c r="T42" s="35" t="str">
        <f aca="false">IF(C42="","",IF(I42="Enrolled","Enrolled — welcome them and ask for a referral",IF(I42="Lost","Closed out — add to a win-back nurture sequence",IF(Q42="Overdue","OVERDUE — contact "&amp;C42&amp;" today, follow-up was due "&amp;TEXT(K42,"m/d"),IF(R42="Hot","Priority call/text "&amp;C42&amp;" — high interest, "&amp;TEXT(N42,"$#,##0")&amp;" opportunity",IF(R42="Warm","Send "&amp;C42&amp;" info on the "&amp;M42&amp;" and confirm next step","Light-touch check-in with "&amp;C42&amp;" to re-engage"))))))</f>
        <v/>
      </c>
      <c r="U42" s="1" t="n">
        <f aca="false">IF(R42="Hot",N42+ROW()/100000,-1)</f>
        <v>-1</v>
      </c>
      <c r="V42" s="1" t="n">
        <f aca="false">IF(OR(Q42="Overdue",Q42="Due Today"),IF(Q42="Overdue",2000000,1000000)-ROW(),-1)</f>
        <v>-1</v>
      </c>
    </row>
    <row r="43" customFormat="false" ht="15" hidden="false" customHeight="true" outlineLevel="0" collapsed="false">
      <c r="A43" s="33"/>
      <c r="B43" s="39"/>
      <c r="C43" s="39"/>
      <c r="D43" s="39"/>
      <c r="E43" s="39"/>
      <c r="F43" s="39"/>
      <c r="G43" s="40"/>
      <c r="H43" s="39"/>
      <c r="I43" s="39"/>
      <c r="J43" s="39"/>
      <c r="K43" s="39"/>
      <c r="L43" s="39"/>
      <c r="M43" s="39"/>
      <c r="N43" s="41"/>
      <c r="O43" s="39"/>
      <c r="P43" s="33" t="str">
        <f aca="true">IF(B43="","",TODAY()-B43)</f>
        <v/>
      </c>
      <c r="Q43" s="33" t="str">
        <f aca="true">IF(OR(K43="",I43="Enrolled",I43="Lost"),"--",IF(K43&lt;TODAY(),"Overdue",IF(K43=TODAY(),"Due Today","Upcoming")))</f>
        <v>--</v>
      </c>
      <c r="R43" s="33" t="str">
        <f aca="false">IF(C43="","",IF(OR(I43="Enrolled",I43="Lost"),"Closed",IF(OR(I43="Appointment Booked",I43="Trial Completed",O43&gt;=5,AND(I43="Qualified",O43&gt;=4)),"Hot",IF(OR(I43="Qualified",I43="Contacted",O43=3),"Warm","Cold"))))</f>
        <v/>
      </c>
      <c r="S43" s="37" t="str">
        <f aca="false">IF(I43="","",IFERROR(INDEX(Reference!$B$4:$B$10,MATCH(I43,Reference!$A$4:$A$10,0)),0))</f>
        <v/>
      </c>
      <c r="T43" s="35" t="str">
        <f aca="false">IF(C43="","",IF(I43="Enrolled","Enrolled — welcome them and ask for a referral",IF(I43="Lost","Closed out — add to a win-back nurture sequence",IF(Q43="Overdue","OVERDUE — contact "&amp;C43&amp;" today, follow-up was due "&amp;TEXT(K43,"m/d"),IF(R43="Hot","Priority call/text "&amp;C43&amp;" — high interest, "&amp;TEXT(N43,"$#,##0")&amp;" opportunity",IF(R43="Warm","Send "&amp;C43&amp;" info on the "&amp;M43&amp;" and confirm next step","Light-touch check-in with "&amp;C43&amp;" to re-engage"))))))</f>
        <v/>
      </c>
      <c r="U43" s="1" t="n">
        <f aca="false">IF(R43="Hot",N43+ROW()/100000,-1)</f>
        <v>-1</v>
      </c>
      <c r="V43" s="1" t="n">
        <f aca="false">IF(OR(Q43="Overdue",Q43="Due Today"),IF(Q43="Overdue",2000000,1000000)-ROW(),-1)</f>
        <v>-1</v>
      </c>
    </row>
    <row r="44" customFormat="false" ht="15" hidden="false" customHeight="true" outlineLevel="0" collapsed="false">
      <c r="A44" s="33"/>
      <c r="B44" s="39"/>
      <c r="C44" s="39"/>
      <c r="D44" s="39"/>
      <c r="E44" s="39"/>
      <c r="F44" s="39"/>
      <c r="G44" s="40"/>
      <c r="H44" s="39"/>
      <c r="I44" s="39"/>
      <c r="J44" s="39"/>
      <c r="K44" s="39"/>
      <c r="L44" s="39"/>
      <c r="M44" s="39"/>
      <c r="N44" s="41"/>
      <c r="O44" s="39"/>
      <c r="P44" s="33" t="str">
        <f aca="true">IF(B44="","",TODAY()-B44)</f>
        <v/>
      </c>
      <c r="Q44" s="33" t="str">
        <f aca="true">IF(OR(K44="",I44="Enrolled",I44="Lost"),"--",IF(K44&lt;TODAY(),"Overdue",IF(K44=TODAY(),"Due Today","Upcoming")))</f>
        <v>--</v>
      </c>
      <c r="R44" s="33" t="str">
        <f aca="false">IF(C44="","",IF(OR(I44="Enrolled",I44="Lost"),"Closed",IF(OR(I44="Appointment Booked",I44="Trial Completed",O44&gt;=5,AND(I44="Qualified",O44&gt;=4)),"Hot",IF(OR(I44="Qualified",I44="Contacted",O44=3),"Warm","Cold"))))</f>
        <v/>
      </c>
      <c r="S44" s="37" t="str">
        <f aca="false">IF(I44="","",IFERROR(INDEX(Reference!$B$4:$B$10,MATCH(I44,Reference!$A$4:$A$10,0)),0))</f>
        <v/>
      </c>
      <c r="T44" s="35" t="str">
        <f aca="false">IF(C44="","",IF(I44="Enrolled","Enrolled — welcome them and ask for a referral",IF(I44="Lost","Closed out — add to a win-back nurture sequence",IF(Q44="Overdue","OVERDUE — contact "&amp;C44&amp;" today, follow-up was due "&amp;TEXT(K44,"m/d"),IF(R44="Hot","Priority call/text "&amp;C44&amp;" — high interest, "&amp;TEXT(N44,"$#,##0")&amp;" opportunity",IF(R44="Warm","Send "&amp;C44&amp;" info on the "&amp;M44&amp;" and confirm next step","Light-touch check-in with "&amp;C44&amp;" to re-engage"))))))</f>
        <v/>
      </c>
      <c r="U44" s="1" t="n">
        <f aca="false">IF(R44="Hot",N44+ROW()/100000,-1)</f>
        <v>-1</v>
      </c>
      <c r="V44" s="1" t="n">
        <f aca="false">IF(OR(Q44="Overdue",Q44="Due Today"),IF(Q44="Overdue",2000000,1000000)-ROW(),-1)</f>
        <v>-1</v>
      </c>
    </row>
    <row r="45" customFormat="false" ht="15" hidden="false" customHeight="true" outlineLevel="0" collapsed="false">
      <c r="A45" s="33"/>
      <c r="B45" s="39"/>
      <c r="C45" s="39"/>
      <c r="D45" s="39"/>
      <c r="E45" s="39"/>
      <c r="F45" s="39"/>
      <c r="G45" s="40"/>
      <c r="H45" s="39"/>
      <c r="I45" s="39"/>
      <c r="J45" s="39"/>
      <c r="K45" s="39"/>
      <c r="L45" s="39"/>
      <c r="M45" s="39"/>
      <c r="N45" s="41"/>
      <c r="O45" s="39"/>
      <c r="P45" s="33" t="str">
        <f aca="true">IF(B45="","",TODAY()-B45)</f>
        <v/>
      </c>
      <c r="Q45" s="33" t="str">
        <f aca="true">IF(OR(K45="",I45="Enrolled",I45="Lost"),"--",IF(K45&lt;TODAY(),"Overdue",IF(K45=TODAY(),"Due Today","Upcoming")))</f>
        <v>--</v>
      </c>
      <c r="R45" s="33" t="str">
        <f aca="false">IF(C45="","",IF(OR(I45="Enrolled",I45="Lost"),"Closed",IF(OR(I45="Appointment Booked",I45="Trial Completed",O45&gt;=5,AND(I45="Qualified",O45&gt;=4)),"Hot",IF(OR(I45="Qualified",I45="Contacted",O45=3),"Warm","Cold"))))</f>
        <v/>
      </c>
      <c r="S45" s="37" t="str">
        <f aca="false">IF(I45="","",IFERROR(INDEX(Reference!$B$4:$B$10,MATCH(I45,Reference!$A$4:$A$10,0)),0))</f>
        <v/>
      </c>
      <c r="T45" s="35" t="str">
        <f aca="false">IF(C45="","",IF(I45="Enrolled","Enrolled — welcome them and ask for a referral",IF(I45="Lost","Closed out — add to a win-back nurture sequence",IF(Q45="Overdue","OVERDUE — contact "&amp;C45&amp;" today, follow-up was due "&amp;TEXT(K45,"m/d"),IF(R45="Hot","Priority call/text "&amp;C45&amp;" — high interest, "&amp;TEXT(N45,"$#,##0")&amp;" opportunity",IF(R45="Warm","Send "&amp;C45&amp;" info on the "&amp;M45&amp;" and confirm next step","Light-touch check-in with "&amp;C45&amp;" to re-engage"))))))</f>
        <v/>
      </c>
      <c r="U45" s="1" t="n">
        <f aca="false">IF(R45="Hot",N45+ROW()/100000,-1)</f>
        <v>-1</v>
      </c>
      <c r="V45" s="1" t="n">
        <f aca="false">IF(OR(Q45="Overdue",Q45="Due Today"),IF(Q45="Overdue",2000000,1000000)-ROW(),-1)</f>
        <v>-1</v>
      </c>
    </row>
    <row r="46" customFormat="false" ht="15" hidden="false" customHeight="true" outlineLevel="0" collapsed="false">
      <c r="A46" s="33"/>
      <c r="B46" s="39"/>
      <c r="C46" s="39"/>
      <c r="D46" s="39"/>
      <c r="E46" s="39"/>
      <c r="F46" s="39"/>
      <c r="G46" s="40"/>
      <c r="H46" s="39"/>
      <c r="I46" s="39"/>
      <c r="J46" s="39"/>
      <c r="K46" s="39"/>
      <c r="L46" s="39"/>
      <c r="M46" s="39"/>
      <c r="N46" s="41"/>
      <c r="O46" s="39"/>
      <c r="P46" s="33" t="str">
        <f aca="true">IF(B46="","",TODAY()-B46)</f>
        <v/>
      </c>
      <c r="Q46" s="33" t="str">
        <f aca="true">IF(OR(K46="",I46="Enrolled",I46="Lost"),"--",IF(K46&lt;TODAY(),"Overdue",IF(K46=TODAY(),"Due Today","Upcoming")))</f>
        <v>--</v>
      </c>
      <c r="R46" s="33" t="str">
        <f aca="false">IF(C46="","",IF(OR(I46="Enrolled",I46="Lost"),"Closed",IF(OR(I46="Appointment Booked",I46="Trial Completed",O46&gt;=5,AND(I46="Qualified",O46&gt;=4)),"Hot",IF(OR(I46="Qualified",I46="Contacted",O46=3),"Warm","Cold"))))</f>
        <v/>
      </c>
      <c r="S46" s="37" t="str">
        <f aca="false">IF(I46="","",IFERROR(INDEX(Reference!$B$4:$B$10,MATCH(I46,Reference!$A$4:$A$10,0)),0))</f>
        <v/>
      </c>
      <c r="T46" s="35" t="str">
        <f aca="false">IF(C46="","",IF(I46="Enrolled","Enrolled — welcome them and ask for a referral",IF(I46="Lost","Closed out — add to a win-back nurture sequence",IF(Q46="Overdue","OVERDUE — contact "&amp;C46&amp;" today, follow-up was due "&amp;TEXT(K46,"m/d"),IF(R46="Hot","Priority call/text "&amp;C46&amp;" — high interest, "&amp;TEXT(N46,"$#,##0")&amp;" opportunity",IF(R46="Warm","Send "&amp;C46&amp;" info on the "&amp;M46&amp;" and confirm next step","Light-touch check-in with "&amp;C46&amp;" to re-engage"))))))</f>
        <v/>
      </c>
      <c r="U46" s="1" t="n">
        <f aca="false">IF(R46="Hot",N46+ROW()/100000,-1)</f>
        <v>-1</v>
      </c>
      <c r="V46" s="1" t="n">
        <f aca="false">IF(OR(Q46="Overdue",Q46="Due Today"),IF(Q46="Overdue",2000000,1000000)-ROW(),-1)</f>
        <v>-1</v>
      </c>
    </row>
    <row r="47" customFormat="false" ht="15" hidden="false" customHeight="true" outlineLevel="0" collapsed="false">
      <c r="A47" s="33"/>
      <c r="B47" s="39"/>
      <c r="C47" s="39"/>
      <c r="D47" s="39"/>
      <c r="E47" s="39"/>
      <c r="F47" s="39"/>
      <c r="G47" s="40"/>
      <c r="H47" s="39"/>
      <c r="I47" s="39"/>
      <c r="J47" s="39"/>
      <c r="K47" s="39"/>
      <c r="L47" s="39"/>
      <c r="M47" s="39"/>
      <c r="N47" s="41"/>
      <c r="O47" s="39"/>
      <c r="P47" s="33" t="str">
        <f aca="true">IF(B47="","",TODAY()-B47)</f>
        <v/>
      </c>
      <c r="Q47" s="33" t="str">
        <f aca="true">IF(OR(K47="",I47="Enrolled",I47="Lost"),"--",IF(K47&lt;TODAY(),"Overdue",IF(K47=TODAY(),"Due Today","Upcoming")))</f>
        <v>--</v>
      </c>
      <c r="R47" s="33" t="str">
        <f aca="false">IF(C47="","",IF(OR(I47="Enrolled",I47="Lost"),"Closed",IF(OR(I47="Appointment Booked",I47="Trial Completed",O47&gt;=5,AND(I47="Qualified",O47&gt;=4)),"Hot",IF(OR(I47="Qualified",I47="Contacted",O47=3),"Warm","Cold"))))</f>
        <v/>
      </c>
      <c r="S47" s="37" t="str">
        <f aca="false">IF(I47="","",IFERROR(INDEX(Reference!$B$4:$B$10,MATCH(I47,Reference!$A$4:$A$10,0)),0))</f>
        <v/>
      </c>
      <c r="T47" s="35" t="str">
        <f aca="false">IF(C47="","",IF(I47="Enrolled","Enrolled — welcome them and ask for a referral",IF(I47="Lost","Closed out — add to a win-back nurture sequence",IF(Q47="Overdue","OVERDUE — contact "&amp;C47&amp;" today, follow-up was due "&amp;TEXT(K47,"m/d"),IF(R47="Hot","Priority call/text "&amp;C47&amp;" — high interest, "&amp;TEXT(N47,"$#,##0")&amp;" opportunity",IF(R47="Warm","Send "&amp;C47&amp;" info on the "&amp;M47&amp;" and confirm next step","Light-touch check-in with "&amp;C47&amp;" to re-engage"))))))</f>
        <v/>
      </c>
      <c r="U47" s="1" t="n">
        <f aca="false">IF(R47="Hot",N47+ROW()/100000,-1)</f>
        <v>-1</v>
      </c>
      <c r="V47" s="1" t="n">
        <f aca="false">IF(OR(Q47="Overdue",Q47="Due Today"),IF(Q47="Overdue",2000000,1000000)-ROW(),-1)</f>
        <v>-1</v>
      </c>
    </row>
    <row r="48" customFormat="false" ht="15" hidden="false" customHeight="true" outlineLevel="0" collapsed="false">
      <c r="A48" s="33"/>
      <c r="B48" s="39"/>
      <c r="C48" s="39"/>
      <c r="D48" s="39"/>
      <c r="E48" s="39"/>
      <c r="F48" s="39"/>
      <c r="G48" s="40"/>
      <c r="H48" s="39"/>
      <c r="I48" s="39"/>
      <c r="J48" s="39"/>
      <c r="K48" s="39"/>
      <c r="L48" s="39"/>
      <c r="M48" s="39"/>
      <c r="N48" s="41"/>
      <c r="O48" s="39"/>
      <c r="P48" s="33" t="str">
        <f aca="true">IF(B48="","",TODAY()-B48)</f>
        <v/>
      </c>
      <c r="Q48" s="33" t="str">
        <f aca="true">IF(OR(K48="",I48="Enrolled",I48="Lost"),"--",IF(K48&lt;TODAY(),"Overdue",IF(K48=TODAY(),"Due Today","Upcoming")))</f>
        <v>--</v>
      </c>
      <c r="R48" s="33" t="str">
        <f aca="false">IF(C48="","",IF(OR(I48="Enrolled",I48="Lost"),"Closed",IF(OR(I48="Appointment Booked",I48="Trial Completed",O48&gt;=5,AND(I48="Qualified",O48&gt;=4)),"Hot",IF(OR(I48="Qualified",I48="Contacted",O48=3),"Warm","Cold"))))</f>
        <v/>
      </c>
      <c r="S48" s="37" t="str">
        <f aca="false">IF(I48="","",IFERROR(INDEX(Reference!$B$4:$B$10,MATCH(I48,Reference!$A$4:$A$10,0)),0))</f>
        <v/>
      </c>
      <c r="T48" s="35" t="str">
        <f aca="false">IF(C48="","",IF(I48="Enrolled","Enrolled — welcome them and ask for a referral",IF(I48="Lost","Closed out — add to a win-back nurture sequence",IF(Q48="Overdue","OVERDUE — contact "&amp;C48&amp;" today, follow-up was due "&amp;TEXT(K48,"m/d"),IF(R48="Hot","Priority call/text "&amp;C48&amp;" — high interest, "&amp;TEXT(N48,"$#,##0")&amp;" opportunity",IF(R48="Warm","Send "&amp;C48&amp;" info on the "&amp;M48&amp;" and confirm next step","Light-touch check-in with "&amp;C48&amp;" to re-engage"))))))</f>
        <v/>
      </c>
      <c r="U48" s="1" t="n">
        <f aca="false">IF(R48="Hot",N48+ROW()/100000,-1)</f>
        <v>-1</v>
      </c>
      <c r="V48" s="1" t="n">
        <f aca="false">IF(OR(Q48="Overdue",Q48="Due Today"),IF(Q48="Overdue",2000000,1000000)-ROW(),-1)</f>
        <v>-1</v>
      </c>
    </row>
    <row r="49" customFormat="false" ht="15" hidden="false" customHeight="true" outlineLevel="0" collapsed="false">
      <c r="A49" s="33"/>
      <c r="B49" s="39"/>
      <c r="C49" s="39"/>
      <c r="D49" s="39"/>
      <c r="E49" s="39"/>
      <c r="F49" s="39"/>
      <c r="G49" s="40"/>
      <c r="H49" s="39"/>
      <c r="I49" s="39"/>
      <c r="J49" s="39"/>
      <c r="K49" s="39"/>
      <c r="L49" s="39"/>
      <c r="M49" s="39"/>
      <c r="N49" s="41"/>
      <c r="O49" s="39"/>
      <c r="P49" s="33" t="str">
        <f aca="true">IF(B49="","",TODAY()-B49)</f>
        <v/>
      </c>
      <c r="Q49" s="33" t="str">
        <f aca="true">IF(OR(K49="",I49="Enrolled",I49="Lost"),"--",IF(K49&lt;TODAY(),"Overdue",IF(K49=TODAY(),"Due Today","Upcoming")))</f>
        <v>--</v>
      </c>
      <c r="R49" s="33" t="str">
        <f aca="false">IF(C49="","",IF(OR(I49="Enrolled",I49="Lost"),"Closed",IF(OR(I49="Appointment Booked",I49="Trial Completed",O49&gt;=5,AND(I49="Qualified",O49&gt;=4)),"Hot",IF(OR(I49="Qualified",I49="Contacted",O49=3),"Warm","Cold"))))</f>
        <v/>
      </c>
      <c r="S49" s="37" t="str">
        <f aca="false">IF(I49="","",IFERROR(INDEX(Reference!$B$4:$B$10,MATCH(I49,Reference!$A$4:$A$10,0)),0))</f>
        <v/>
      </c>
      <c r="T49" s="35" t="str">
        <f aca="false">IF(C49="","",IF(I49="Enrolled","Enrolled — welcome them and ask for a referral",IF(I49="Lost","Closed out — add to a win-back nurture sequence",IF(Q49="Overdue","OVERDUE — contact "&amp;C49&amp;" today, follow-up was due "&amp;TEXT(K49,"m/d"),IF(R49="Hot","Priority call/text "&amp;C49&amp;" — high interest, "&amp;TEXT(N49,"$#,##0")&amp;" opportunity",IF(R49="Warm","Send "&amp;C49&amp;" info on the "&amp;M49&amp;" and confirm next step","Light-touch check-in with "&amp;C49&amp;" to re-engage"))))))</f>
        <v/>
      </c>
      <c r="U49" s="1" t="n">
        <f aca="false">IF(R49="Hot",N49+ROW()/100000,-1)</f>
        <v>-1</v>
      </c>
      <c r="V49" s="1" t="n">
        <f aca="false">IF(OR(Q49="Overdue",Q49="Due Today"),IF(Q49="Overdue",2000000,1000000)-ROW(),-1)</f>
        <v>-1</v>
      </c>
    </row>
    <row r="50" customFormat="false" ht="15" hidden="false" customHeight="true" outlineLevel="0" collapsed="false">
      <c r="A50" s="33"/>
      <c r="B50" s="39"/>
      <c r="C50" s="39"/>
      <c r="D50" s="39"/>
      <c r="E50" s="39"/>
      <c r="F50" s="39"/>
      <c r="G50" s="40"/>
      <c r="H50" s="39"/>
      <c r="I50" s="39"/>
      <c r="J50" s="39"/>
      <c r="K50" s="39"/>
      <c r="L50" s="39"/>
      <c r="M50" s="39"/>
      <c r="N50" s="41"/>
      <c r="O50" s="39"/>
      <c r="P50" s="33" t="str">
        <f aca="true">IF(B50="","",TODAY()-B50)</f>
        <v/>
      </c>
      <c r="Q50" s="33" t="str">
        <f aca="true">IF(OR(K50="",I50="Enrolled",I50="Lost"),"--",IF(K50&lt;TODAY(),"Overdue",IF(K50=TODAY(),"Due Today","Upcoming")))</f>
        <v>--</v>
      </c>
      <c r="R50" s="33" t="str">
        <f aca="false">IF(C50="","",IF(OR(I50="Enrolled",I50="Lost"),"Closed",IF(OR(I50="Appointment Booked",I50="Trial Completed",O50&gt;=5,AND(I50="Qualified",O50&gt;=4)),"Hot",IF(OR(I50="Qualified",I50="Contacted",O50=3),"Warm","Cold"))))</f>
        <v/>
      </c>
      <c r="S50" s="37" t="str">
        <f aca="false">IF(I50="","",IFERROR(INDEX(Reference!$B$4:$B$10,MATCH(I50,Reference!$A$4:$A$10,0)),0))</f>
        <v/>
      </c>
      <c r="T50" s="35" t="str">
        <f aca="false">IF(C50="","",IF(I50="Enrolled","Enrolled — welcome them and ask for a referral",IF(I50="Lost","Closed out — add to a win-back nurture sequence",IF(Q50="Overdue","OVERDUE — contact "&amp;C50&amp;" today, follow-up was due "&amp;TEXT(K50,"m/d"),IF(R50="Hot","Priority call/text "&amp;C50&amp;" — high interest, "&amp;TEXT(N50,"$#,##0")&amp;" opportunity",IF(R50="Warm","Send "&amp;C50&amp;" info on the "&amp;M50&amp;" and confirm next step","Light-touch check-in with "&amp;C50&amp;" to re-engage"))))))</f>
        <v/>
      </c>
      <c r="U50" s="1" t="n">
        <f aca="false">IF(R50="Hot",N50+ROW()/100000,-1)</f>
        <v>-1</v>
      </c>
      <c r="V50" s="1" t="n">
        <f aca="false">IF(OR(Q50="Overdue",Q50="Due Today"),IF(Q50="Overdue",2000000,1000000)-ROW(),-1)</f>
        <v>-1</v>
      </c>
    </row>
    <row r="51" customFormat="false" ht="15" hidden="false" customHeight="true" outlineLevel="0" collapsed="false">
      <c r="A51" s="33"/>
      <c r="B51" s="39"/>
      <c r="C51" s="39"/>
      <c r="D51" s="39"/>
      <c r="E51" s="39"/>
      <c r="F51" s="39"/>
      <c r="G51" s="40"/>
      <c r="H51" s="39"/>
      <c r="I51" s="39"/>
      <c r="J51" s="39"/>
      <c r="K51" s="39"/>
      <c r="L51" s="39"/>
      <c r="M51" s="39"/>
      <c r="N51" s="41"/>
      <c r="O51" s="39"/>
      <c r="P51" s="33" t="str">
        <f aca="true">IF(B51="","",TODAY()-B51)</f>
        <v/>
      </c>
      <c r="Q51" s="33" t="str">
        <f aca="true">IF(OR(K51="",I51="Enrolled",I51="Lost"),"--",IF(K51&lt;TODAY(),"Overdue",IF(K51=TODAY(),"Due Today","Upcoming")))</f>
        <v>--</v>
      </c>
      <c r="R51" s="33" t="str">
        <f aca="false">IF(C51="","",IF(OR(I51="Enrolled",I51="Lost"),"Closed",IF(OR(I51="Appointment Booked",I51="Trial Completed",O51&gt;=5,AND(I51="Qualified",O51&gt;=4)),"Hot",IF(OR(I51="Qualified",I51="Contacted",O51=3),"Warm","Cold"))))</f>
        <v/>
      </c>
      <c r="S51" s="37" t="str">
        <f aca="false">IF(I51="","",IFERROR(INDEX(Reference!$B$4:$B$10,MATCH(I51,Reference!$A$4:$A$10,0)),0))</f>
        <v/>
      </c>
      <c r="T51" s="35" t="str">
        <f aca="false">IF(C51="","",IF(I51="Enrolled","Enrolled — welcome them and ask for a referral",IF(I51="Lost","Closed out — add to a win-back nurture sequence",IF(Q51="Overdue","OVERDUE — contact "&amp;C51&amp;" today, follow-up was due "&amp;TEXT(K51,"m/d"),IF(R51="Hot","Priority call/text "&amp;C51&amp;" — high interest, "&amp;TEXT(N51,"$#,##0")&amp;" opportunity",IF(R51="Warm","Send "&amp;C51&amp;" info on the "&amp;M51&amp;" and confirm next step","Light-touch check-in with "&amp;C51&amp;" to re-engage"))))))</f>
        <v/>
      </c>
      <c r="U51" s="1" t="n">
        <f aca="false">IF(R51="Hot",N51+ROW()/100000,-1)</f>
        <v>-1</v>
      </c>
      <c r="V51" s="1" t="n">
        <f aca="false">IF(OR(Q51="Overdue",Q51="Due Today"),IF(Q51="Overdue",2000000,1000000)-ROW(),-1)</f>
        <v>-1</v>
      </c>
    </row>
    <row r="52" customFormat="false" ht="15" hidden="false" customHeight="true" outlineLevel="0" collapsed="false">
      <c r="A52" s="33"/>
      <c r="B52" s="39"/>
      <c r="C52" s="39"/>
      <c r="D52" s="39"/>
      <c r="E52" s="39"/>
      <c r="F52" s="39"/>
      <c r="G52" s="40"/>
      <c r="H52" s="39"/>
      <c r="I52" s="39"/>
      <c r="J52" s="39"/>
      <c r="K52" s="39"/>
      <c r="L52" s="39"/>
      <c r="M52" s="39"/>
      <c r="N52" s="41"/>
      <c r="O52" s="39"/>
      <c r="P52" s="33" t="str">
        <f aca="true">IF(B52="","",TODAY()-B52)</f>
        <v/>
      </c>
      <c r="Q52" s="33" t="str">
        <f aca="true">IF(OR(K52="",I52="Enrolled",I52="Lost"),"--",IF(K52&lt;TODAY(),"Overdue",IF(K52=TODAY(),"Due Today","Upcoming")))</f>
        <v>--</v>
      </c>
      <c r="R52" s="33" t="str">
        <f aca="false">IF(C52="","",IF(OR(I52="Enrolled",I52="Lost"),"Closed",IF(OR(I52="Appointment Booked",I52="Trial Completed",O52&gt;=5,AND(I52="Qualified",O52&gt;=4)),"Hot",IF(OR(I52="Qualified",I52="Contacted",O52=3),"Warm","Cold"))))</f>
        <v/>
      </c>
      <c r="S52" s="37" t="str">
        <f aca="false">IF(I52="","",IFERROR(INDEX(Reference!$B$4:$B$10,MATCH(I52,Reference!$A$4:$A$10,0)),0))</f>
        <v/>
      </c>
      <c r="T52" s="35" t="str">
        <f aca="false">IF(C52="","",IF(I52="Enrolled","Enrolled — welcome them and ask for a referral",IF(I52="Lost","Closed out — add to a win-back nurture sequence",IF(Q52="Overdue","OVERDUE — contact "&amp;C52&amp;" today, follow-up was due "&amp;TEXT(K52,"m/d"),IF(R52="Hot","Priority call/text "&amp;C52&amp;" — high interest, "&amp;TEXT(N52,"$#,##0")&amp;" opportunity",IF(R52="Warm","Send "&amp;C52&amp;" info on the "&amp;M52&amp;" and confirm next step","Light-touch check-in with "&amp;C52&amp;" to re-engage"))))))</f>
        <v/>
      </c>
      <c r="U52" s="1" t="n">
        <f aca="false">IF(R52="Hot",N52+ROW()/100000,-1)</f>
        <v>-1</v>
      </c>
      <c r="V52" s="1" t="n">
        <f aca="false">IF(OR(Q52="Overdue",Q52="Due Today"),IF(Q52="Overdue",2000000,1000000)-ROW(),-1)</f>
        <v>-1</v>
      </c>
    </row>
    <row r="53" customFormat="false" ht="15" hidden="false" customHeight="true" outlineLevel="0" collapsed="false">
      <c r="A53" s="33"/>
      <c r="B53" s="39"/>
      <c r="C53" s="39"/>
      <c r="D53" s="39"/>
      <c r="E53" s="39"/>
      <c r="F53" s="39"/>
      <c r="G53" s="40"/>
      <c r="H53" s="39"/>
      <c r="I53" s="39"/>
      <c r="J53" s="39"/>
      <c r="K53" s="39"/>
      <c r="L53" s="39"/>
      <c r="M53" s="39"/>
      <c r="N53" s="41"/>
      <c r="O53" s="39"/>
      <c r="P53" s="33" t="str">
        <f aca="true">IF(B53="","",TODAY()-B53)</f>
        <v/>
      </c>
      <c r="Q53" s="33" t="str">
        <f aca="true">IF(OR(K53="",I53="Enrolled",I53="Lost"),"--",IF(K53&lt;TODAY(),"Overdue",IF(K53=TODAY(),"Due Today","Upcoming")))</f>
        <v>--</v>
      </c>
      <c r="R53" s="33" t="str">
        <f aca="false">IF(C53="","",IF(OR(I53="Enrolled",I53="Lost"),"Closed",IF(OR(I53="Appointment Booked",I53="Trial Completed",O53&gt;=5,AND(I53="Qualified",O53&gt;=4)),"Hot",IF(OR(I53="Qualified",I53="Contacted",O53=3),"Warm","Cold"))))</f>
        <v/>
      </c>
      <c r="S53" s="37" t="str">
        <f aca="false">IF(I53="","",IFERROR(INDEX(Reference!$B$4:$B$10,MATCH(I53,Reference!$A$4:$A$10,0)),0))</f>
        <v/>
      </c>
      <c r="T53" s="35" t="str">
        <f aca="false">IF(C53="","",IF(I53="Enrolled","Enrolled — welcome them and ask for a referral",IF(I53="Lost","Closed out — add to a win-back nurture sequence",IF(Q53="Overdue","OVERDUE — contact "&amp;C53&amp;" today, follow-up was due "&amp;TEXT(K53,"m/d"),IF(R53="Hot","Priority call/text "&amp;C53&amp;" — high interest, "&amp;TEXT(N53,"$#,##0")&amp;" opportunity",IF(R53="Warm","Send "&amp;C53&amp;" info on the "&amp;M53&amp;" and confirm next step","Light-touch check-in with "&amp;C53&amp;" to re-engage"))))))</f>
        <v/>
      </c>
      <c r="U53" s="1" t="n">
        <f aca="false">IF(R53="Hot",N53+ROW()/100000,-1)</f>
        <v>-1</v>
      </c>
      <c r="V53" s="1" t="n">
        <f aca="false">IF(OR(Q53="Overdue",Q53="Due Today"),IF(Q53="Overdue",2000000,1000000)-ROW(),-1)</f>
        <v>-1</v>
      </c>
    </row>
    <row r="54" customFormat="false" ht="15" hidden="false" customHeight="true" outlineLevel="0" collapsed="false">
      <c r="A54" s="33"/>
      <c r="B54" s="39"/>
      <c r="C54" s="39"/>
      <c r="D54" s="39"/>
      <c r="E54" s="39"/>
      <c r="F54" s="39"/>
      <c r="G54" s="40"/>
      <c r="H54" s="39"/>
      <c r="I54" s="39"/>
      <c r="J54" s="39"/>
      <c r="K54" s="39"/>
      <c r="L54" s="39"/>
      <c r="M54" s="39"/>
      <c r="N54" s="41"/>
      <c r="O54" s="39"/>
      <c r="P54" s="33" t="str">
        <f aca="true">IF(B54="","",TODAY()-B54)</f>
        <v/>
      </c>
      <c r="Q54" s="33" t="str">
        <f aca="true">IF(OR(K54="",I54="Enrolled",I54="Lost"),"--",IF(K54&lt;TODAY(),"Overdue",IF(K54=TODAY(),"Due Today","Upcoming")))</f>
        <v>--</v>
      </c>
      <c r="R54" s="33" t="str">
        <f aca="false">IF(C54="","",IF(OR(I54="Enrolled",I54="Lost"),"Closed",IF(OR(I54="Appointment Booked",I54="Trial Completed",O54&gt;=5,AND(I54="Qualified",O54&gt;=4)),"Hot",IF(OR(I54="Qualified",I54="Contacted",O54=3),"Warm","Cold"))))</f>
        <v/>
      </c>
      <c r="S54" s="37" t="str">
        <f aca="false">IF(I54="","",IFERROR(INDEX(Reference!$B$4:$B$10,MATCH(I54,Reference!$A$4:$A$10,0)),0))</f>
        <v/>
      </c>
      <c r="T54" s="35" t="str">
        <f aca="false">IF(C54="","",IF(I54="Enrolled","Enrolled — welcome them and ask for a referral",IF(I54="Lost","Closed out — add to a win-back nurture sequence",IF(Q54="Overdue","OVERDUE — contact "&amp;C54&amp;" today, follow-up was due "&amp;TEXT(K54,"m/d"),IF(R54="Hot","Priority call/text "&amp;C54&amp;" — high interest, "&amp;TEXT(N54,"$#,##0")&amp;" opportunity",IF(R54="Warm","Send "&amp;C54&amp;" info on the "&amp;M54&amp;" and confirm next step","Light-touch check-in with "&amp;C54&amp;" to re-engage"))))))</f>
        <v/>
      </c>
      <c r="U54" s="1" t="n">
        <f aca="false">IF(R54="Hot",N54+ROW()/100000,-1)</f>
        <v>-1</v>
      </c>
      <c r="V54" s="1" t="n">
        <f aca="false">IF(OR(Q54="Overdue",Q54="Due Today"),IF(Q54="Overdue",2000000,1000000)-ROW(),-1)</f>
        <v>-1</v>
      </c>
    </row>
    <row r="55" customFormat="false" ht="15" hidden="false" customHeight="true" outlineLevel="0" collapsed="false">
      <c r="A55" s="33"/>
      <c r="B55" s="39"/>
      <c r="C55" s="39"/>
      <c r="D55" s="39"/>
      <c r="E55" s="39"/>
      <c r="F55" s="39"/>
      <c r="G55" s="40"/>
      <c r="H55" s="39"/>
      <c r="I55" s="39"/>
      <c r="J55" s="39"/>
      <c r="K55" s="39"/>
      <c r="L55" s="39"/>
      <c r="M55" s="39"/>
      <c r="N55" s="41"/>
      <c r="O55" s="39"/>
      <c r="P55" s="33" t="str">
        <f aca="true">IF(B55="","",TODAY()-B55)</f>
        <v/>
      </c>
      <c r="Q55" s="33" t="str">
        <f aca="true">IF(OR(K55="",I55="Enrolled",I55="Lost"),"--",IF(K55&lt;TODAY(),"Overdue",IF(K55=TODAY(),"Due Today","Upcoming")))</f>
        <v>--</v>
      </c>
      <c r="R55" s="33" t="str">
        <f aca="false">IF(C55="","",IF(OR(I55="Enrolled",I55="Lost"),"Closed",IF(OR(I55="Appointment Booked",I55="Trial Completed",O55&gt;=5,AND(I55="Qualified",O55&gt;=4)),"Hot",IF(OR(I55="Qualified",I55="Contacted",O55=3),"Warm","Cold"))))</f>
        <v/>
      </c>
      <c r="S55" s="37" t="str">
        <f aca="false">IF(I55="","",IFERROR(INDEX(Reference!$B$4:$B$10,MATCH(I55,Reference!$A$4:$A$10,0)),0))</f>
        <v/>
      </c>
      <c r="T55" s="35" t="str">
        <f aca="false">IF(C55="","",IF(I55="Enrolled","Enrolled — welcome them and ask for a referral",IF(I55="Lost","Closed out — add to a win-back nurture sequence",IF(Q55="Overdue","OVERDUE — contact "&amp;C55&amp;" today, follow-up was due "&amp;TEXT(K55,"m/d"),IF(R55="Hot","Priority call/text "&amp;C55&amp;" — high interest, "&amp;TEXT(N55,"$#,##0")&amp;" opportunity",IF(R55="Warm","Send "&amp;C55&amp;" info on the "&amp;M55&amp;" and confirm next step","Light-touch check-in with "&amp;C55&amp;" to re-engage"))))))</f>
        <v/>
      </c>
      <c r="U55" s="1" t="n">
        <f aca="false">IF(R55="Hot",N55+ROW()/100000,-1)</f>
        <v>-1</v>
      </c>
      <c r="V55" s="1" t="n">
        <f aca="false">IF(OR(Q55="Overdue",Q55="Due Today"),IF(Q55="Overdue",2000000,1000000)-ROW(),-1)</f>
        <v>-1</v>
      </c>
    </row>
    <row r="56" customFormat="false" ht="15" hidden="false" customHeight="true" outlineLevel="0" collapsed="false">
      <c r="A56" s="33"/>
      <c r="B56" s="39"/>
      <c r="C56" s="39"/>
      <c r="D56" s="39"/>
      <c r="E56" s="39"/>
      <c r="F56" s="39"/>
      <c r="G56" s="40"/>
      <c r="H56" s="39"/>
      <c r="I56" s="39"/>
      <c r="J56" s="39"/>
      <c r="K56" s="39"/>
      <c r="L56" s="39"/>
      <c r="M56" s="39"/>
      <c r="N56" s="41"/>
      <c r="O56" s="39"/>
      <c r="P56" s="33" t="str">
        <f aca="true">IF(B56="","",TODAY()-B56)</f>
        <v/>
      </c>
      <c r="Q56" s="33" t="str">
        <f aca="true">IF(OR(K56="",I56="Enrolled",I56="Lost"),"--",IF(K56&lt;TODAY(),"Overdue",IF(K56=TODAY(),"Due Today","Upcoming")))</f>
        <v>--</v>
      </c>
      <c r="R56" s="33" t="str">
        <f aca="false">IF(C56="","",IF(OR(I56="Enrolled",I56="Lost"),"Closed",IF(OR(I56="Appointment Booked",I56="Trial Completed",O56&gt;=5,AND(I56="Qualified",O56&gt;=4)),"Hot",IF(OR(I56="Qualified",I56="Contacted",O56=3),"Warm","Cold"))))</f>
        <v/>
      </c>
      <c r="S56" s="37" t="str">
        <f aca="false">IF(I56="","",IFERROR(INDEX(Reference!$B$4:$B$10,MATCH(I56,Reference!$A$4:$A$10,0)),0))</f>
        <v/>
      </c>
      <c r="T56" s="35" t="str">
        <f aca="false">IF(C56="","",IF(I56="Enrolled","Enrolled — welcome them and ask for a referral",IF(I56="Lost","Closed out — add to a win-back nurture sequence",IF(Q56="Overdue","OVERDUE — contact "&amp;C56&amp;" today, follow-up was due "&amp;TEXT(K56,"m/d"),IF(R56="Hot","Priority call/text "&amp;C56&amp;" — high interest, "&amp;TEXT(N56,"$#,##0")&amp;" opportunity",IF(R56="Warm","Send "&amp;C56&amp;" info on the "&amp;M56&amp;" and confirm next step","Light-touch check-in with "&amp;C56&amp;" to re-engage"))))))</f>
        <v/>
      </c>
      <c r="U56" s="1" t="n">
        <f aca="false">IF(R56="Hot",N56+ROW()/100000,-1)</f>
        <v>-1</v>
      </c>
      <c r="V56" s="1" t="n">
        <f aca="false">IF(OR(Q56="Overdue",Q56="Due Today"),IF(Q56="Overdue",2000000,1000000)-ROW(),-1)</f>
        <v>-1</v>
      </c>
    </row>
    <row r="57" customFormat="false" ht="15" hidden="false" customHeight="true" outlineLevel="0" collapsed="false">
      <c r="A57" s="33"/>
      <c r="B57" s="39"/>
      <c r="C57" s="39"/>
      <c r="D57" s="39"/>
      <c r="E57" s="39"/>
      <c r="F57" s="39"/>
      <c r="G57" s="40"/>
      <c r="H57" s="39"/>
      <c r="I57" s="39"/>
      <c r="J57" s="39"/>
      <c r="K57" s="39"/>
      <c r="L57" s="39"/>
      <c r="M57" s="39"/>
      <c r="N57" s="41"/>
      <c r="O57" s="39"/>
      <c r="P57" s="33" t="str">
        <f aca="true">IF(B57="","",TODAY()-B57)</f>
        <v/>
      </c>
      <c r="Q57" s="33" t="str">
        <f aca="true">IF(OR(K57="",I57="Enrolled",I57="Lost"),"--",IF(K57&lt;TODAY(),"Overdue",IF(K57=TODAY(),"Due Today","Upcoming")))</f>
        <v>--</v>
      </c>
      <c r="R57" s="33" t="str">
        <f aca="false">IF(C57="","",IF(OR(I57="Enrolled",I57="Lost"),"Closed",IF(OR(I57="Appointment Booked",I57="Trial Completed",O57&gt;=5,AND(I57="Qualified",O57&gt;=4)),"Hot",IF(OR(I57="Qualified",I57="Contacted",O57=3),"Warm","Cold"))))</f>
        <v/>
      </c>
      <c r="S57" s="37" t="str">
        <f aca="false">IF(I57="","",IFERROR(INDEX(Reference!$B$4:$B$10,MATCH(I57,Reference!$A$4:$A$10,0)),0))</f>
        <v/>
      </c>
      <c r="T57" s="35" t="str">
        <f aca="false">IF(C57="","",IF(I57="Enrolled","Enrolled — welcome them and ask for a referral",IF(I57="Lost","Closed out — add to a win-back nurture sequence",IF(Q57="Overdue","OVERDUE — contact "&amp;C57&amp;" today, follow-up was due "&amp;TEXT(K57,"m/d"),IF(R57="Hot","Priority call/text "&amp;C57&amp;" — high interest, "&amp;TEXT(N57,"$#,##0")&amp;" opportunity",IF(R57="Warm","Send "&amp;C57&amp;" info on the "&amp;M57&amp;" and confirm next step","Light-touch check-in with "&amp;C57&amp;" to re-engage"))))))</f>
        <v/>
      </c>
      <c r="U57" s="1" t="n">
        <f aca="false">IF(R57="Hot",N57+ROW()/100000,-1)</f>
        <v>-1</v>
      </c>
      <c r="V57" s="1" t="n">
        <f aca="false">IF(OR(Q57="Overdue",Q57="Due Today"),IF(Q57="Overdue",2000000,1000000)-ROW(),-1)</f>
        <v>-1</v>
      </c>
    </row>
    <row r="58" customFormat="false" ht="15" hidden="false" customHeight="true" outlineLevel="0" collapsed="false">
      <c r="A58" s="33"/>
      <c r="B58" s="39"/>
      <c r="C58" s="39"/>
      <c r="D58" s="39"/>
      <c r="E58" s="39"/>
      <c r="F58" s="39"/>
      <c r="G58" s="40"/>
      <c r="H58" s="39"/>
      <c r="I58" s="39"/>
      <c r="J58" s="39"/>
      <c r="K58" s="39"/>
      <c r="L58" s="39"/>
      <c r="M58" s="39"/>
      <c r="N58" s="41"/>
      <c r="O58" s="39"/>
      <c r="P58" s="33" t="str">
        <f aca="true">IF(B58="","",TODAY()-B58)</f>
        <v/>
      </c>
      <c r="Q58" s="33" t="str">
        <f aca="true">IF(OR(K58="",I58="Enrolled",I58="Lost"),"--",IF(K58&lt;TODAY(),"Overdue",IF(K58=TODAY(),"Due Today","Upcoming")))</f>
        <v>--</v>
      </c>
      <c r="R58" s="33" t="str">
        <f aca="false">IF(C58="","",IF(OR(I58="Enrolled",I58="Lost"),"Closed",IF(OR(I58="Appointment Booked",I58="Trial Completed",O58&gt;=5,AND(I58="Qualified",O58&gt;=4)),"Hot",IF(OR(I58="Qualified",I58="Contacted",O58=3),"Warm","Cold"))))</f>
        <v/>
      </c>
      <c r="S58" s="37" t="str">
        <f aca="false">IF(I58="","",IFERROR(INDEX(Reference!$B$4:$B$10,MATCH(I58,Reference!$A$4:$A$10,0)),0))</f>
        <v/>
      </c>
      <c r="T58" s="35" t="str">
        <f aca="false">IF(C58="","",IF(I58="Enrolled","Enrolled — welcome them and ask for a referral",IF(I58="Lost","Closed out — add to a win-back nurture sequence",IF(Q58="Overdue","OVERDUE — contact "&amp;C58&amp;" today, follow-up was due "&amp;TEXT(K58,"m/d"),IF(R58="Hot","Priority call/text "&amp;C58&amp;" — high interest, "&amp;TEXT(N58,"$#,##0")&amp;" opportunity",IF(R58="Warm","Send "&amp;C58&amp;" info on the "&amp;M58&amp;" and confirm next step","Light-touch check-in with "&amp;C58&amp;" to re-engage"))))))</f>
        <v/>
      </c>
      <c r="U58" s="1" t="n">
        <f aca="false">IF(R58="Hot",N58+ROW()/100000,-1)</f>
        <v>-1</v>
      </c>
      <c r="V58" s="1" t="n">
        <f aca="false">IF(OR(Q58="Overdue",Q58="Due Today"),IF(Q58="Overdue",2000000,1000000)-ROW(),-1)</f>
        <v>-1</v>
      </c>
    </row>
    <row r="59" customFormat="false" ht="15" hidden="false" customHeight="true" outlineLevel="0" collapsed="false">
      <c r="A59" s="33"/>
      <c r="B59" s="39"/>
      <c r="C59" s="39"/>
      <c r="D59" s="39"/>
      <c r="E59" s="39"/>
      <c r="F59" s="39"/>
      <c r="G59" s="40"/>
      <c r="H59" s="39"/>
      <c r="I59" s="39"/>
      <c r="J59" s="39"/>
      <c r="K59" s="39"/>
      <c r="L59" s="39"/>
      <c r="M59" s="39"/>
      <c r="N59" s="41"/>
      <c r="O59" s="39"/>
      <c r="P59" s="33" t="str">
        <f aca="true">IF(B59="","",TODAY()-B59)</f>
        <v/>
      </c>
      <c r="Q59" s="33" t="str">
        <f aca="true">IF(OR(K59="",I59="Enrolled",I59="Lost"),"--",IF(K59&lt;TODAY(),"Overdue",IF(K59=TODAY(),"Due Today","Upcoming")))</f>
        <v>--</v>
      </c>
      <c r="R59" s="33" t="str">
        <f aca="false">IF(C59="","",IF(OR(I59="Enrolled",I59="Lost"),"Closed",IF(OR(I59="Appointment Booked",I59="Trial Completed",O59&gt;=5,AND(I59="Qualified",O59&gt;=4)),"Hot",IF(OR(I59="Qualified",I59="Contacted",O59=3),"Warm","Cold"))))</f>
        <v/>
      </c>
      <c r="S59" s="37" t="str">
        <f aca="false">IF(I59="","",IFERROR(INDEX(Reference!$B$4:$B$10,MATCH(I59,Reference!$A$4:$A$10,0)),0))</f>
        <v/>
      </c>
      <c r="T59" s="35" t="str">
        <f aca="false">IF(C59="","",IF(I59="Enrolled","Enrolled — welcome them and ask for a referral",IF(I59="Lost","Closed out — add to a win-back nurture sequence",IF(Q59="Overdue","OVERDUE — contact "&amp;C59&amp;" today, follow-up was due "&amp;TEXT(K59,"m/d"),IF(R59="Hot","Priority call/text "&amp;C59&amp;" — high interest, "&amp;TEXT(N59,"$#,##0")&amp;" opportunity",IF(R59="Warm","Send "&amp;C59&amp;" info on the "&amp;M59&amp;" and confirm next step","Light-touch check-in with "&amp;C59&amp;" to re-engage"))))))</f>
        <v/>
      </c>
      <c r="U59" s="1" t="n">
        <f aca="false">IF(R59="Hot",N59+ROW()/100000,-1)</f>
        <v>-1</v>
      </c>
      <c r="V59" s="1" t="n">
        <f aca="false">IF(OR(Q59="Overdue",Q59="Due Today"),IF(Q59="Overdue",2000000,1000000)-ROW(),-1)</f>
        <v>-1</v>
      </c>
    </row>
    <row r="60" customFormat="false" ht="15" hidden="false" customHeight="true" outlineLevel="0" collapsed="false">
      <c r="A60" s="33"/>
      <c r="B60" s="39"/>
      <c r="C60" s="39"/>
      <c r="D60" s="39"/>
      <c r="E60" s="39"/>
      <c r="F60" s="39"/>
      <c r="G60" s="40"/>
      <c r="H60" s="39"/>
      <c r="I60" s="39"/>
      <c r="J60" s="39"/>
      <c r="K60" s="39"/>
      <c r="L60" s="39"/>
      <c r="M60" s="39"/>
      <c r="N60" s="41"/>
      <c r="O60" s="39"/>
      <c r="P60" s="33" t="str">
        <f aca="true">IF(B60="","",TODAY()-B60)</f>
        <v/>
      </c>
      <c r="Q60" s="33" t="str">
        <f aca="true">IF(OR(K60="",I60="Enrolled",I60="Lost"),"--",IF(K60&lt;TODAY(),"Overdue",IF(K60=TODAY(),"Due Today","Upcoming")))</f>
        <v>--</v>
      </c>
      <c r="R60" s="33" t="str">
        <f aca="false">IF(C60="","",IF(OR(I60="Enrolled",I60="Lost"),"Closed",IF(OR(I60="Appointment Booked",I60="Trial Completed",O60&gt;=5,AND(I60="Qualified",O60&gt;=4)),"Hot",IF(OR(I60="Qualified",I60="Contacted",O60=3),"Warm","Cold"))))</f>
        <v/>
      </c>
      <c r="S60" s="37" t="str">
        <f aca="false">IF(I60="","",IFERROR(INDEX(Reference!$B$4:$B$10,MATCH(I60,Reference!$A$4:$A$10,0)),0))</f>
        <v/>
      </c>
      <c r="T60" s="35" t="str">
        <f aca="false">IF(C60="","",IF(I60="Enrolled","Enrolled — welcome them and ask for a referral",IF(I60="Lost","Closed out — add to a win-back nurture sequence",IF(Q60="Overdue","OVERDUE — contact "&amp;C60&amp;" today, follow-up was due "&amp;TEXT(K60,"m/d"),IF(R60="Hot","Priority call/text "&amp;C60&amp;" — high interest, "&amp;TEXT(N60,"$#,##0")&amp;" opportunity",IF(R60="Warm","Send "&amp;C60&amp;" info on the "&amp;M60&amp;" and confirm next step","Light-touch check-in with "&amp;C60&amp;" to re-engage"))))))</f>
        <v/>
      </c>
      <c r="U60" s="1" t="n">
        <f aca="false">IF(R60="Hot",N60+ROW()/100000,-1)</f>
        <v>-1</v>
      </c>
      <c r="V60" s="1" t="n">
        <f aca="false">IF(OR(Q60="Overdue",Q60="Due Today"),IF(Q60="Overdue",2000000,1000000)-ROW(),-1)</f>
        <v>-1</v>
      </c>
    </row>
    <row r="61" customFormat="false" ht="15" hidden="false" customHeight="true" outlineLevel="0" collapsed="false">
      <c r="A61" s="33"/>
      <c r="B61" s="39"/>
      <c r="C61" s="39"/>
      <c r="D61" s="39"/>
      <c r="E61" s="39"/>
      <c r="F61" s="39"/>
      <c r="G61" s="40"/>
      <c r="H61" s="39"/>
      <c r="I61" s="39"/>
      <c r="J61" s="39"/>
      <c r="K61" s="39"/>
      <c r="L61" s="39"/>
      <c r="M61" s="39"/>
      <c r="N61" s="41"/>
      <c r="O61" s="39"/>
      <c r="P61" s="33" t="str">
        <f aca="true">IF(B61="","",TODAY()-B61)</f>
        <v/>
      </c>
      <c r="Q61" s="33" t="str">
        <f aca="true">IF(OR(K61="",I61="Enrolled",I61="Lost"),"--",IF(K61&lt;TODAY(),"Overdue",IF(K61=TODAY(),"Due Today","Upcoming")))</f>
        <v>--</v>
      </c>
      <c r="R61" s="33" t="str">
        <f aca="false">IF(C61="","",IF(OR(I61="Enrolled",I61="Lost"),"Closed",IF(OR(I61="Appointment Booked",I61="Trial Completed",O61&gt;=5,AND(I61="Qualified",O61&gt;=4)),"Hot",IF(OR(I61="Qualified",I61="Contacted",O61=3),"Warm","Cold"))))</f>
        <v/>
      </c>
      <c r="S61" s="37" t="str">
        <f aca="false">IF(I61="","",IFERROR(INDEX(Reference!$B$4:$B$10,MATCH(I61,Reference!$A$4:$A$10,0)),0))</f>
        <v/>
      </c>
      <c r="T61" s="35" t="str">
        <f aca="false">IF(C61="","",IF(I61="Enrolled","Enrolled — welcome them and ask for a referral",IF(I61="Lost","Closed out — add to a win-back nurture sequence",IF(Q61="Overdue","OVERDUE — contact "&amp;C61&amp;" today, follow-up was due "&amp;TEXT(K61,"m/d"),IF(R61="Hot","Priority call/text "&amp;C61&amp;" — high interest, "&amp;TEXT(N61,"$#,##0")&amp;" opportunity",IF(R61="Warm","Send "&amp;C61&amp;" info on the "&amp;M61&amp;" and confirm next step","Light-touch check-in with "&amp;C61&amp;" to re-engage"))))))</f>
        <v/>
      </c>
      <c r="U61" s="1" t="n">
        <f aca="false">IF(R61="Hot",N61+ROW()/100000,-1)</f>
        <v>-1</v>
      </c>
      <c r="V61" s="1" t="n">
        <f aca="false">IF(OR(Q61="Overdue",Q61="Due Today"),IF(Q61="Overdue",2000000,1000000)-ROW(),-1)</f>
        <v>-1</v>
      </c>
    </row>
    <row r="62" customFormat="false" ht="15" hidden="false" customHeight="true" outlineLevel="0" collapsed="false">
      <c r="A62" s="33"/>
      <c r="B62" s="39"/>
      <c r="C62" s="39"/>
      <c r="D62" s="39"/>
      <c r="E62" s="39"/>
      <c r="F62" s="39"/>
      <c r="G62" s="40"/>
      <c r="H62" s="39"/>
      <c r="I62" s="39"/>
      <c r="J62" s="39"/>
      <c r="K62" s="39"/>
      <c r="L62" s="39"/>
      <c r="M62" s="39"/>
      <c r="N62" s="41"/>
      <c r="O62" s="39"/>
      <c r="P62" s="33" t="str">
        <f aca="true">IF(B62="","",TODAY()-B62)</f>
        <v/>
      </c>
      <c r="Q62" s="33" t="str">
        <f aca="true">IF(OR(K62="",I62="Enrolled",I62="Lost"),"--",IF(K62&lt;TODAY(),"Overdue",IF(K62=TODAY(),"Due Today","Upcoming")))</f>
        <v>--</v>
      </c>
      <c r="R62" s="33" t="str">
        <f aca="false">IF(C62="","",IF(OR(I62="Enrolled",I62="Lost"),"Closed",IF(OR(I62="Appointment Booked",I62="Trial Completed",O62&gt;=5,AND(I62="Qualified",O62&gt;=4)),"Hot",IF(OR(I62="Qualified",I62="Contacted",O62=3),"Warm","Cold"))))</f>
        <v/>
      </c>
      <c r="S62" s="37" t="str">
        <f aca="false">IF(I62="","",IFERROR(INDEX(Reference!$B$4:$B$10,MATCH(I62,Reference!$A$4:$A$10,0)),0))</f>
        <v/>
      </c>
      <c r="T62" s="35" t="str">
        <f aca="false">IF(C62="","",IF(I62="Enrolled","Enrolled — welcome them and ask for a referral",IF(I62="Lost","Closed out — add to a win-back nurture sequence",IF(Q62="Overdue","OVERDUE — contact "&amp;C62&amp;" today, follow-up was due "&amp;TEXT(K62,"m/d"),IF(R62="Hot","Priority call/text "&amp;C62&amp;" — high interest, "&amp;TEXT(N62,"$#,##0")&amp;" opportunity",IF(R62="Warm","Send "&amp;C62&amp;" info on the "&amp;M62&amp;" and confirm next step","Light-touch check-in with "&amp;C62&amp;" to re-engage"))))))</f>
        <v/>
      </c>
      <c r="U62" s="1" t="n">
        <f aca="false">IF(R62="Hot",N62+ROW()/100000,-1)</f>
        <v>-1</v>
      </c>
      <c r="V62" s="1" t="n">
        <f aca="false">IF(OR(Q62="Overdue",Q62="Due Today"),IF(Q62="Overdue",2000000,1000000)-ROW(),-1)</f>
        <v>-1</v>
      </c>
    </row>
    <row r="63" customFormat="false" ht="15" hidden="false" customHeight="true" outlineLevel="0" collapsed="false">
      <c r="A63" s="33"/>
      <c r="B63" s="39"/>
      <c r="C63" s="39"/>
      <c r="D63" s="39"/>
      <c r="E63" s="39"/>
      <c r="F63" s="39"/>
      <c r="G63" s="40"/>
      <c r="H63" s="39"/>
      <c r="I63" s="39"/>
      <c r="J63" s="39"/>
      <c r="K63" s="39"/>
      <c r="L63" s="39"/>
      <c r="M63" s="39"/>
      <c r="N63" s="41"/>
      <c r="O63" s="39"/>
      <c r="P63" s="33" t="str">
        <f aca="true">IF(B63="","",TODAY()-B63)</f>
        <v/>
      </c>
      <c r="Q63" s="33" t="str">
        <f aca="true">IF(OR(K63="",I63="Enrolled",I63="Lost"),"--",IF(K63&lt;TODAY(),"Overdue",IF(K63=TODAY(),"Due Today","Upcoming")))</f>
        <v>--</v>
      </c>
      <c r="R63" s="33" t="str">
        <f aca="false">IF(C63="","",IF(OR(I63="Enrolled",I63="Lost"),"Closed",IF(OR(I63="Appointment Booked",I63="Trial Completed",O63&gt;=5,AND(I63="Qualified",O63&gt;=4)),"Hot",IF(OR(I63="Qualified",I63="Contacted",O63=3),"Warm","Cold"))))</f>
        <v/>
      </c>
      <c r="S63" s="37" t="str">
        <f aca="false">IF(I63="","",IFERROR(INDEX(Reference!$B$4:$B$10,MATCH(I63,Reference!$A$4:$A$10,0)),0))</f>
        <v/>
      </c>
      <c r="T63" s="35" t="str">
        <f aca="false">IF(C63="","",IF(I63="Enrolled","Enrolled — welcome them and ask for a referral",IF(I63="Lost","Closed out — add to a win-back nurture sequence",IF(Q63="Overdue","OVERDUE — contact "&amp;C63&amp;" today, follow-up was due "&amp;TEXT(K63,"m/d"),IF(R63="Hot","Priority call/text "&amp;C63&amp;" — high interest, "&amp;TEXT(N63,"$#,##0")&amp;" opportunity",IF(R63="Warm","Send "&amp;C63&amp;" info on the "&amp;M63&amp;" and confirm next step","Light-touch check-in with "&amp;C63&amp;" to re-engage"))))))</f>
        <v/>
      </c>
      <c r="U63" s="1" t="n">
        <f aca="false">IF(R63="Hot",N63+ROW()/100000,-1)</f>
        <v>-1</v>
      </c>
      <c r="V63" s="1" t="n">
        <f aca="false">IF(OR(Q63="Overdue",Q63="Due Today"),IF(Q63="Overdue",2000000,1000000)-ROW(),-1)</f>
        <v>-1</v>
      </c>
    </row>
    <row r="64" customFormat="false" ht="15" hidden="false" customHeight="true" outlineLevel="0" collapsed="false">
      <c r="A64" s="33"/>
      <c r="B64" s="39"/>
      <c r="C64" s="39"/>
      <c r="D64" s="39"/>
      <c r="E64" s="39"/>
      <c r="F64" s="39"/>
      <c r="G64" s="40"/>
      <c r="H64" s="39"/>
      <c r="I64" s="39"/>
      <c r="J64" s="39"/>
      <c r="K64" s="39"/>
      <c r="L64" s="39"/>
      <c r="M64" s="39"/>
      <c r="N64" s="41"/>
      <c r="O64" s="39"/>
      <c r="P64" s="33" t="str">
        <f aca="true">IF(B64="","",TODAY()-B64)</f>
        <v/>
      </c>
      <c r="Q64" s="33" t="str">
        <f aca="true">IF(OR(K64="",I64="Enrolled",I64="Lost"),"--",IF(K64&lt;TODAY(),"Overdue",IF(K64=TODAY(),"Due Today","Upcoming")))</f>
        <v>--</v>
      </c>
      <c r="R64" s="33" t="str">
        <f aca="false">IF(C64="","",IF(OR(I64="Enrolled",I64="Lost"),"Closed",IF(OR(I64="Appointment Booked",I64="Trial Completed",O64&gt;=5,AND(I64="Qualified",O64&gt;=4)),"Hot",IF(OR(I64="Qualified",I64="Contacted",O64=3),"Warm","Cold"))))</f>
        <v/>
      </c>
      <c r="S64" s="37" t="str">
        <f aca="false">IF(I64="","",IFERROR(INDEX(Reference!$B$4:$B$10,MATCH(I64,Reference!$A$4:$A$10,0)),0))</f>
        <v/>
      </c>
      <c r="T64" s="35" t="str">
        <f aca="false">IF(C64="","",IF(I64="Enrolled","Enrolled — welcome them and ask for a referral",IF(I64="Lost","Closed out — add to a win-back nurture sequence",IF(Q64="Overdue","OVERDUE — contact "&amp;C64&amp;" today, follow-up was due "&amp;TEXT(K64,"m/d"),IF(R64="Hot","Priority call/text "&amp;C64&amp;" — high interest, "&amp;TEXT(N64,"$#,##0")&amp;" opportunity",IF(R64="Warm","Send "&amp;C64&amp;" info on the "&amp;M64&amp;" and confirm next step","Light-touch check-in with "&amp;C64&amp;" to re-engage"))))))</f>
        <v/>
      </c>
      <c r="U64" s="1" t="n">
        <f aca="false">IF(R64="Hot",N64+ROW()/100000,-1)</f>
        <v>-1</v>
      </c>
      <c r="V64" s="1" t="n">
        <f aca="false">IF(OR(Q64="Overdue",Q64="Due Today"),IF(Q64="Overdue",2000000,1000000)-ROW(),-1)</f>
        <v>-1</v>
      </c>
    </row>
    <row r="65" customFormat="false" ht="15" hidden="false" customHeight="true" outlineLevel="0" collapsed="false">
      <c r="A65" s="33"/>
      <c r="B65" s="39"/>
      <c r="C65" s="39"/>
      <c r="D65" s="39"/>
      <c r="E65" s="39"/>
      <c r="F65" s="39"/>
      <c r="G65" s="40"/>
      <c r="H65" s="39"/>
      <c r="I65" s="39"/>
      <c r="J65" s="39"/>
      <c r="K65" s="39"/>
      <c r="L65" s="39"/>
      <c r="M65" s="39"/>
      <c r="N65" s="41"/>
      <c r="O65" s="39"/>
      <c r="P65" s="33" t="str">
        <f aca="true">IF(B65="","",TODAY()-B65)</f>
        <v/>
      </c>
      <c r="Q65" s="33" t="str">
        <f aca="true">IF(OR(K65="",I65="Enrolled",I65="Lost"),"--",IF(K65&lt;TODAY(),"Overdue",IF(K65=TODAY(),"Due Today","Upcoming")))</f>
        <v>--</v>
      </c>
      <c r="R65" s="33" t="str">
        <f aca="false">IF(C65="","",IF(OR(I65="Enrolled",I65="Lost"),"Closed",IF(OR(I65="Appointment Booked",I65="Trial Completed",O65&gt;=5,AND(I65="Qualified",O65&gt;=4)),"Hot",IF(OR(I65="Qualified",I65="Contacted",O65=3),"Warm","Cold"))))</f>
        <v/>
      </c>
      <c r="S65" s="37" t="str">
        <f aca="false">IF(I65="","",IFERROR(INDEX(Reference!$B$4:$B$10,MATCH(I65,Reference!$A$4:$A$10,0)),0))</f>
        <v/>
      </c>
      <c r="T65" s="35" t="str">
        <f aca="false">IF(C65="","",IF(I65="Enrolled","Enrolled — welcome them and ask for a referral",IF(I65="Lost","Closed out — add to a win-back nurture sequence",IF(Q65="Overdue","OVERDUE — contact "&amp;C65&amp;" today, follow-up was due "&amp;TEXT(K65,"m/d"),IF(R65="Hot","Priority call/text "&amp;C65&amp;" — high interest, "&amp;TEXT(N65,"$#,##0")&amp;" opportunity",IF(R65="Warm","Send "&amp;C65&amp;" info on the "&amp;M65&amp;" and confirm next step","Light-touch check-in with "&amp;C65&amp;" to re-engage"))))))</f>
        <v/>
      </c>
      <c r="U65" s="1" t="n">
        <f aca="false">IF(R65="Hot",N65+ROW()/100000,-1)</f>
        <v>-1</v>
      </c>
      <c r="V65" s="1" t="n">
        <f aca="false">IF(OR(Q65="Overdue",Q65="Due Today"),IF(Q65="Overdue",2000000,1000000)-ROW(),-1)</f>
        <v>-1</v>
      </c>
    </row>
    <row r="66" customFormat="false" ht="15" hidden="false" customHeight="true" outlineLevel="0" collapsed="false">
      <c r="A66" s="33"/>
      <c r="B66" s="39"/>
      <c r="C66" s="39"/>
      <c r="D66" s="39"/>
      <c r="E66" s="39"/>
      <c r="F66" s="39"/>
      <c r="G66" s="40"/>
      <c r="H66" s="39"/>
      <c r="I66" s="39"/>
      <c r="J66" s="39"/>
      <c r="K66" s="39"/>
      <c r="L66" s="39"/>
      <c r="M66" s="39"/>
      <c r="N66" s="41"/>
      <c r="O66" s="39"/>
      <c r="P66" s="33" t="str">
        <f aca="true">IF(B66="","",TODAY()-B66)</f>
        <v/>
      </c>
      <c r="Q66" s="33" t="str">
        <f aca="true">IF(OR(K66="",I66="Enrolled",I66="Lost"),"--",IF(K66&lt;TODAY(),"Overdue",IF(K66=TODAY(),"Due Today","Upcoming")))</f>
        <v>--</v>
      </c>
      <c r="R66" s="33" t="str">
        <f aca="false">IF(C66="","",IF(OR(I66="Enrolled",I66="Lost"),"Closed",IF(OR(I66="Appointment Booked",I66="Trial Completed",O66&gt;=5,AND(I66="Qualified",O66&gt;=4)),"Hot",IF(OR(I66="Qualified",I66="Contacted",O66=3),"Warm","Cold"))))</f>
        <v/>
      </c>
      <c r="S66" s="37" t="str">
        <f aca="false">IF(I66="","",IFERROR(INDEX(Reference!$B$4:$B$10,MATCH(I66,Reference!$A$4:$A$10,0)),0))</f>
        <v/>
      </c>
      <c r="T66" s="35" t="str">
        <f aca="false">IF(C66="","",IF(I66="Enrolled","Enrolled — welcome them and ask for a referral",IF(I66="Lost","Closed out — add to a win-back nurture sequence",IF(Q66="Overdue","OVERDUE — contact "&amp;C66&amp;" today, follow-up was due "&amp;TEXT(K66,"m/d"),IF(R66="Hot","Priority call/text "&amp;C66&amp;" — high interest, "&amp;TEXT(N66,"$#,##0")&amp;" opportunity",IF(R66="Warm","Send "&amp;C66&amp;" info on the "&amp;M66&amp;" and confirm next step","Light-touch check-in with "&amp;C66&amp;" to re-engage"))))))</f>
        <v/>
      </c>
      <c r="U66" s="1" t="n">
        <f aca="false">IF(R66="Hot",N66+ROW()/100000,-1)</f>
        <v>-1</v>
      </c>
      <c r="V66" s="1" t="n">
        <f aca="false">IF(OR(Q66="Overdue",Q66="Due Today"),IF(Q66="Overdue",2000000,1000000)-ROW(),-1)</f>
        <v>-1</v>
      </c>
    </row>
    <row r="67" customFormat="false" ht="15" hidden="false" customHeight="true" outlineLevel="0" collapsed="false">
      <c r="A67" s="33"/>
      <c r="B67" s="39"/>
      <c r="C67" s="39"/>
      <c r="D67" s="39"/>
      <c r="E67" s="39"/>
      <c r="F67" s="39"/>
      <c r="G67" s="40"/>
      <c r="H67" s="39"/>
      <c r="I67" s="39"/>
      <c r="J67" s="39"/>
      <c r="K67" s="39"/>
      <c r="L67" s="39"/>
      <c r="M67" s="39"/>
      <c r="N67" s="41"/>
      <c r="O67" s="39"/>
      <c r="P67" s="33" t="str">
        <f aca="true">IF(B67="","",TODAY()-B67)</f>
        <v/>
      </c>
      <c r="Q67" s="33" t="str">
        <f aca="true">IF(OR(K67="",I67="Enrolled",I67="Lost"),"--",IF(K67&lt;TODAY(),"Overdue",IF(K67=TODAY(),"Due Today","Upcoming")))</f>
        <v>--</v>
      </c>
      <c r="R67" s="33" t="str">
        <f aca="false">IF(C67="","",IF(OR(I67="Enrolled",I67="Lost"),"Closed",IF(OR(I67="Appointment Booked",I67="Trial Completed",O67&gt;=5,AND(I67="Qualified",O67&gt;=4)),"Hot",IF(OR(I67="Qualified",I67="Contacted",O67=3),"Warm","Cold"))))</f>
        <v/>
      </c>
      <c r="S67" s="37" t="str">
        <f aca="false">IF(I67="","",IFERROR(INDEX(Reference!$B$4:$B$10,MATCH(I67,Reference!$A$4:$A$10,0)),0))</f>
        <v/>
      </c>
      <c r="T67" s="35" t="str">
        <f aca="false">IF(C67="","",IF(I67="Enrolled","Enrolled — welcome them and ask for a referral",IF(I67="Lost","Closed out — add to a win-back nurture sequence",IF(Q67="Overdue","OVERDUE — contact "&amp;C67&amp;" today, follow-up was due "&amp;TEXT(K67,"m/d"),IF(R67="Hot","Priority call/text "&amp;C67&amp;" — high interest, "&amp;TEXT(N67,"$#,##0")&amp;" opportunity",IF(R67="Warm","Send "&amp;C67&amp;" info on the "&amp;M67&amp;" and confirm next step","Light-touch check-in with "&amp;C67&amp;" to re-engage"))))))</f>
        <v/>
      </c>
      <c r="U67" s="1" t="n">
        <f aca="false">IF(R67="Hot",N67+ROW()/100000,-1)</f>
        <v>-1</v>
      </c>
      <c r="V67" s="1" t="n">
        <f aca="false">IF(OR(Q67="Overdue",Q67="Due Today"),IF(Q67="Overdue",2000000,1000000)-ROW(),-1)</f>
        <v>-1</v>
      </c>
    </row>
    <row r="68" customFormat="false" ht="15" hidden="false" customHeight="true" outlineLevel="0" collapsed="false">
      <c r="A68" s="33"/>
      <c r="B68" s="39"/>
      <c r="C68" s="39"/>
      <c r="D68" s="39"/>
      <c r="E68" s="39"/>
      <c r="F68" s="39"/>
      <c r="G68" s="40"/>
      <c r="H68" s="39"/>
      <c r="I68" s="39"/>
      <c r="J68" s="39"/>
      <c r="K68" s="39"/>
      <c r="L68" s="39"/>
      <c r="M68" s="39"/>
      <c r="N68" s="41"/>
      <c r="O68" s="39"/>
      <c r="P68" s="33" t="str">
        <f aca="true">IF(B68="","",TODAY()-B68)</f>
        <v/>
      </c>
      <c r="Q68" s="33" t="str">
        <f aca="true">IF(OR(K68="",I68="Enrolled",I68="Lost"),"--",IF(K68&lt;TODAY(),"Overdue",IF(K68=TODAY(),"Due Today","Upcoming")))</f>
        <v>--</v>
      </c>
      <c r="R68" s="33" t="str">
        <f aca="false">IF(C68="","",IF(OR(I68="Enrolled",I68="Lost"),"Closed",IF(OR(I68="Appointment Booked",I68="Trial Completed",O68&gt;=5,AND(I68="Qualified",O68&gt;=4)),"Hot",IF(OR(I68="Qualified",I68="Contacted",O68=3),"Warm","Cold"))))</f>
        <v/>
      </c>
      <c r="S68" s="37" t="str">
        <f aca="false">IF(I68="","",IFERROR(INDEX(Reference!$B$4:$B$10,MATCH(I68,Reference!$A$4:$A$10,0)),0))</f>
        <v/>
      </c>
      <c r="T68" s="35" t="str">
        <f aca="false">IF(C68="","",IF(I68="Enrolled","Enrolled — welcome them and ask for a referral",IF(I68="Lost","Closed out — add to a win-back nurture sequence",IF(Q68="Overdue","OVERDUE — contact "&amp;C68&amp;" today, follow-up was due "&amp;TEXT(K68,"m/d"),IF(R68="Hot","Priority call/text "&amp;C68&amp;" — high interest, "&amp;TEXT(N68,"$#,##0")&amp;" opportunity",IF(R68="Warm","Send "&amp;C68&amp;" info on the "&amp;M68&amp;" and confirm next step","Light-touch check-in with "&amp;C68&amp;" to re-engage"))))))</f>
        <v/>
      </c>
      <c r="U68" s="1" t="n">
        <f aca="false">IF(R68="Hot",N68+ROW()/100000,-1)</f>
        <v>-1</v>
      </c>
      <c r="V68" s="1" t="n">
        <f aca="false">IF(OR(Q68="Overdue",Q68="Due Today"),IF(Q68="Overdue",2000000,1000000)-ROW(),-1)</f>
        <v>-1</v>
      </c>
    </row>
    <row r="69" customFormat="false" ht="15" hidden="false" customHeight="true" outlineLevel="0" collapsed="false">
      <c r="A69" s="33"/>
      <c r="B69" s="39"/>
      <c r="C69" s="39"/>
      <c r="D69" s="39"/>
      <c r="E69" s="39"/>
      <c r="F69" s="39"/>
      <c r="G69" s="40"/>
      <c r="H69" s="39"/>
      <c r="I69" s="39"/>
      <c r="J69" s="39"/>
      <c r="K69" s="39"/>
      <c r="L69" s="39"/>
      <c r="M69" s="39"/>
      <c r="N69" s="41"/>
      <c r="O69" s="39"/>
      <c r="P69" s="33" t="str">
        <f aca="true">IF(B69="","",TODAY()-B69)</f>
        <v/>
      </c>
      <c r="Q69" s="33" t="str">
        <f aca="true">IF(OR(K69="",I69="Enrolled",I69="Lost"),"--",IF(K69&lt;TODAY(),"Overdue",IF(K69=TODAY(),"Due Today","Upcoming")))</f>
        <v>--</v>
      </c>
      <c r="R69" s="33" t="str">
        <f aca="false">IF(C69="","",IF(OR(I69="Enrolled",I69="Lost"),"Closed",IF(OR(I69="Appointment Booked",I69="Trial Completed",O69&gt;=5,AND(I69="Qualified",O69&gt;=4)),"Hot",IF(OR(I69="Qualified",I69="Contacted",O69=3),"Warm","Cold"))))</f>
        <v/>
      </c>
      <c r="S69" s="37" t="str">
        <f aca="false">IF(I69="","",IFERROR(INDEX(Reference!$B$4:$B$10,MATCH(I69,Reference!$A$4:$A$10,0)),0))</f>
        <v/>
      </c>
      <c r="T69" s="35" t="str">
        <f aca="false">IF(C69="","",IF(I69="Enrolled","Enrolled — welcome them and ask for a referral",IF(I69="Lost","Closed out — add to a win-back nurture sequence",IF(Q69="Overdue","OVERDUE — contact "&amp;C69&amp;" today, follow-up was due "&amp;TEXT(K69,"m/d"),IF(R69="Hot","Priority call/text "&amp;C69&amp;" — high interest, "&amp;TEXT(N69,"$#,##0")&amp;" opportunity",IF(R69="Warm","Send "&amp;C69&amp;" info on the "&amp;M69&amp;" and confirm next step","Light-touch check-in with "&amp;C69&amp;" to re-engage"))))))</f>
        <v/>
      </c>
      <c r="U69" s="1" t="n">
        <f aca="false">IF(R69="Hot",N69+ROW()/100000,-1)</f>
        <v>-1</v>
      </c>
      <c r="V69" s="1" t="n">
        <f aca="false">IF(OR(Q69="Overdue",Q69="Due Today"),IF(Q69="Overdue",2000000,1000000)-ROW(),-1)</f>
        <v>-1</v>
      </c>
    </row>
    <row r="70" customFormat="false" ht="15" hidden="false" customHeight="true" outlineLevel="0" collapsed="false">
      <c r="A70" s="33"/>
      <c r="B70" s="39"/>
      <c r="C70" s="39"/>
      <c r="D70" s="39"/>
      <c r="E70" s="39"/>
      <c r="F70" s="39"/>
      <c r="G70" s="40"/>
      <c r="H70" s="39"/>
      <c r="I70" s="39"/>
      <c r="J70" s="39"/>
      <c r="K70" s="39"/>
      <c r="L70" s="39"/>
      <c r="M70" s="39"/>
      <c r="N70" s="41"/>
      <c r="O70" s="39"/>
      <c r="P70" s="33" t="str">
        <f aca="true">IF(B70="","",TODAY()-B70)</f>
        <v/>
      </c>
      <c r="Q70" s="33" t="str">
        <f aca="true">IF(OR(K70="",I70="Enrolled",I70="Lost"),"--",IF(K70&lt;TODAY(),"Overdue",IF(K70=TODAY(),"Due Today","Upcoming")))</f>
        <v>--</v>
      </c>
      <c r="R70" s="33" t="str">
        <f aca="false">IF(C70="","",IF(OR(I70="Enrolled",I70="Lost"),"Closed",IF(OR(I70="Appointment Booked",I70="Trial Completed",O70&gt;=5,AND(I70="Qualified",O70&gt;=4)),"Hot",IF(OR(I70="Qualified",I70="Contacted",O70=3),"Warm","Cold"))))</f>
        <v/>
      </c>
      <c r="S70" s="37" t="str">
        <f aca="false">IF(I70="","",IFERROR(INDEX(Reference!$B$4:$B$10,MATCH(I70,Reference!$A$4:$A$10,0)),0))</f>
        <v/>
      </c>
      <c r="T70" s="35" t="str">
        <f aca="false">IF(C70="","",IF(I70="Enrolled","Enrolled — welcome them and ask for a referral",IF(I70="Lost","Closed out — add to a win-back nurture sequence",IF(Q70="Overdue","OVERDUE — contact "&amp;C70&amp;" today, follow-up was due "&amp;TEXT(K70,"m/d"),IF(R70="Hot","Priority call/text "&amp;C70&amp;" — high interest, "&amp;TEXT(N70,"$#,##0")&amp;" opportunity",IF(R70="Warm","Send "&amp;C70&amp;" info on the "&amp;M70&amp;" and confirm next step","Light-touch check-in with "&amp;C70&amp;" to re-engage"))))))</f>
        <v/>
      </c>
      <c r="U70" s="1" t="n">
        <f aca="false">IF(R70="Hot",N70+ROW()/100000,-1)</f>
        <v>-1</v>
      </c>
      <c r="V70" s="1" t="n">
        <f aca="false">IF(OR(Q70="Overdue",Q70="Due Today"),IF(Q70="Overdue",2000000,1000000)-ROW(),-1)</f>
        <v>-1</v>
      </c>
    </row>
    <row r="71" customFormat="false" ht="15" hidden="false" customHeight="true" outlineLevel="0" collapsed="false">
      <c r="A71" s="33"/>
      <c r="B71" s="39"/>
      <c r="C71" s="39"/>
      <c r="D71" s="39"/>
      <c r="E71" s="39"/>
      <c r="F71" s="39"/>
      <c r="G71" s="40"/>
      <c r="H71" s="39"/>
      <c r="I71" s="39"/>
      <c r="J71" s="39"/>
      <c r="K71" s="39"/>
      <c r="L71" s="39"/>
      <c r="M71" s="39"/>
      <c r="N71" s="41"/>
      <c r="O71" s="39"/>
      <c r="P71" s="33" t="str">
        <f aca="true">IF(B71="","",TODAY()-B71)</f>
        <v/>
      </c>
      <c r="Q71" s="33" t="str">
        <f aca="true">IF(OR(K71="",I71="Enrolled",I71="Lost"),"--",IF(K71&lt;TODAY(),"Overdue",IF(K71=TODAY(),"Due Today","Upcoming")))</f>
        <v>--</v>
      </c>
      <c r="R71" s="33" t="str">
        <f aca="false">IF(C71="","",IF(OR(I71="Enrolled",I71="Lost"),"Closed",IF(OR(I71="Appointment Booked",I71="Trial Completed",O71&gt;=5,AND(I71="Qualified",O71&gt;=4)),"Hot",IF(OR(I71="Qualified",I71="Contacted",O71=3),"Warm","Cold"))))</f>
        <v/>
      </c>
      <c r="S71" s="37" t="str">
        <f aca="false">IF(I71="","",IFERROR(INDEX(Reference!$B$4:$B$10,MATCH(I71,Reference!$A$4:$A$10,0)),0))</f>
        <v/>
      </c>
      <c r="T71" s="35" t="str">
        <f aca="false">IF(C71="","",IF(I71="Enrolled","Enrolled — welcome them and ask for a referral",IF(I71="Lost","Closed out — add to a win-back nurture sequence",IF(Q71="Overdue","OVERDUE — contact "&amp;C71&amp;" today, follow-up was due "&amp;TEXT(K71,"m/d"),IF(R71="Hot","Priority call/text "&amp;C71&amp;" — high interest, "&amp;TEXT(N71,"$#,##0")&amp;" opportunity",IF(R71="Warm","Send "&amp;C71&amp;" info on the "&amp;M71&amp;" and confirm next step","Light-touch check-in with "&amp;C71&amp;" to re-engage"))))))</f>
        <v/>
      </c>
      <c r="U71" s="1" t="n">
        <f aca="false">IF(R71="Hot",N71+ROW()/100000,-1)</f>
        <v>-1</v>
      </c>
      <c r="V71" s="1" t="n">
        <f aca="false">IF(OR(Q71="Overdue",Q71="Due Today"),IF(Q71="Overdue",2000000,1000000)-ROW(),-1)</f>
        <v>-1</v>
      </c>
    </row>
    <row r="72" customFormat="false" ht="15" hidden="false" customHeight="true" outlineLevel="0" collapsed="false">
      <c r="A72" s="33"/>
      <c r="B72" s="39"/>
      <c r="C72" s="39"/>
      <c r="D72" s="39"/>
      <c r="E72" s="39"/>
      <c r="F72" s="39"/>
      <c r="G72" s="40"/>
      <c r="H72" s="39"/>
      <c r="I72" s="39"/>
      <c r="J72" s="39"/>
      <c r="K72" s="39"/>
      <c r="L72" s="39"/>
      <c r="M72" s="39"/>
      <c r="N72" s="41"/>
      <c r="O72" s="39"/>
      <c r="P72" s="33" t="str">
        <f aca="true">IF(B72="","",TODAY()-B72)</f>
        <v/>
      </c>
      <c r="Q72" s="33" t="str">
        <f aca="true">IF(OR(K72="",I72="Enrolled",I72="Lost"),"--",IF(K72&lt;TODAY(),"Overdue",IF(K72=TODAY(),"Due Today","Upcoming")))</f>
        <v>--</v>
      </c>
      <c r="R72" s="33" t="str">
        <f aca="false">IF(C72="","",IF(OR(I72="Enrolled",I72="Lost"),"Closed",IF(OR(I72="Appointment Booked",I72="Trial Completed",O72&gt;=5,AND(I72="Qualified",O72&gt;=4)),"Hot",IF(OR(I72="Qualified",I72="Contacted",O72=3),"Warm","Cold"))))</f>
        <v/>
      </c>
      <c r="S72" s="37" t="str">
        <f aca="false">IF(I72="","",IFERROR(INDEX(Reference!$B$4:$B$10,MATCH(I72,Reference!$A$4:$A$10,0)),0))</f>
        <v/>
      </c>
      <c r="T72" s="35" t="str">
        <f aca="false">IF(C72="","",IF(I72="Enrolled","Enrolled — welcome them and ask for a referral",IF(I72="Lost","Closed out — add to a win-back nurture sequence",IF(Q72="Overdue","OVERDUE — contact "&amp;C72&amp;" today, follow-up was due "&amp;TEXT(K72,"m/d"),IF(R72="Hot","Priority call/text "&amp;C72&amp;" — high interest, "&amp;TEXT(N72,"$#,##0")&amp;" opportunity",IF(R72="Warm","Send "&amp;C72&amp;" info on the "&amp;M72&amp;" and confirm next step","Light-touch check-in with "&amp;C72&amp;" to re-engage"))))))</f>
        <v/>
      </c>
      <c r="U72" s="1" t="n">
        <f aca="false">IF(R72="Hot",N72+ROW()/100000,-1)</f>
        <v>-1</v>
      </c>
      <c r="V72" s="1" t="n">
        <f aca="false">IF(OR(Q72="Overdue",Q72="Due Today"),IF(Q72="Overdue",2000000,1000000)-ROW(),-1)</f>
        <v>-1</v>
      </c>
    </row>
    <row r="73" customFormat="false" ht="15" hidden="false" customHeight="true" outlineLevel="0" collapsed="false">
      <c r="A73" s="33"/>
      <c r="B73" s="39"/>
      <c r="C73" s="39"/>
      <c r="D73" s="39"/>
      <c r="E73" s="39"/>
      <c r="F73" s="39"/>
      <c r="G73" s="40"/>
      <c r="H73" s="39"/>
      <c r="I73" s="39"/>
      <c r="J73" s="39"/>
      <c r="K73" s="39"/>
      <c r="L73" s="39"/>
      <c r="M73" s="39"/>
      <c r="N73" s="41"/>
      <c r="O73" s="39"/>
      <c r="P73" s="33" t="str">
        <f aca="true">IF(B73="","",TODAY()-B73)</f>
        <v/>
      </c>
      <c r="Q73" s="33" t="str">
        <f aca="true">IF(OR(K73="",I73="Enrolled",I73="Lost"),"--",IF(K73&lt;TODAY(),"Overdue",IF(K73=TODAY(),"Due Today","Upcoming")))</f>
        <v>--</v>
      </c>
      <c r="R73" s="33" t="str">
        <f aca="false">IF(C73="","",IF(OR(I73="Enrolled",I73="Lost"),"Closed",IF(OR(I73="Appointment Booked",I73="Trial Completed",O73&gt;=5,AND(I73="Qualified",O73&gt;=4)),"Hot",IF(OR(I73="Qualified",I73="Contacted",O73=3),"Warm","Cold"))))</f>
        <v/>
      </c>
      <c r="S73" s="37" t="str">
        <f aca="false">IF(I73="","",IFERROR(INDEX(Reference!$B$4:$B$10,MATCH(I73,Reference!$A$4:$A$10,0)),0))</f>
        <v/>
      </c>
      <c r="T73" s="35" t="str">
        <f aca="false">IF(C73="","",IF(I73="Enrolled","Enrolled — welcome them and ask for a referral",IF(I73="Lost","Closed out — add to a win-back nurture sequence",IF(Q73="Overdue","OVERDUE — contact "&amp;C73&amp;" today, follow-up was due "&amp;TEXT(K73,"m/d"),IF(R73="Hot","Priority call/text "&amp;C73&amp;" — high interest, "&amp;TEXT(N73,"$#,##0")&amp;" opportunity",IF(R73="Warm","Send "&amp;C73&amp;" info on the "&amp;M73&amp;" and confirm next step","Light-touch check-in with "&amp;C73&amp;" to re-engage"))))))</f>
        <v/>
      </c>
      <c r="U73" s="1" t="n">
        <f aca="false">IF(R73="Hot",N73+ROW()/100000,-1)</f>
        <v>-1</v>
      </c>
      <c r="V73" s="1" t="n">
        <f aca="false">IF(OR(Q73="Overdue",Q73="Due Today"),IF(Q73="Overdue",2000000,1000000)-ROW(),-1)</f>
        <v>-1</v>
      </c>
    </row>
    <row r="74" customFormat="false" ht="15" hidden="false" customHeight="true" outlineLevel="0" collapsed="false">
      <c r="A74" s="33"/>
      <c r="B74" s="39"/>
      <c r="C74" s="39"/>
      <c r="D74" s="39"/>
      <c r="E74" s="39"/>
      <c r="F74" s="39"/>
      <c r="G74" s="40"/>
      <c r="H74" s="39"/>
      <c r="I74" s="39"/>
      <c r="J74" s="39"/>
      <c r="K74" s="39"/>
      <c r="L74" s="39"/>
      <c r="M74" s="39"/>
      <c r="N74" s="41"/>
      <c r="O74" s="39"/>
      <c r="P74" s="33" t="str">
        <f aca="true">IF(B74="","",TODAY()-B74)</f>
        <v/>
      </c>
      <c r="Q74" s="33" t="str">
        <f aca="true">IF(OR(K74="",I74="Enrolled",I74="Lost"),"--",IF(K74&lt;TODAY(),"Overdue",IF(K74=TODAY(),"Due Today","Upcoming")))</f>
        <v>--</v>
      </c>
      <c r="R74" s="33" t="str">
        <f aca="false">IF(C74="","",IF(OR(I74="Enrolled",I74="Lost"),"Closed",IF(OR(I74="Appointment Booked",I74="Trial Completed",O74&gt;=5,AND(I74="Qualified",O74&gt;=4)),"Hot",IF(OR(I74="Qualified",I74="Contacted",O74=3),"Warm","Cold"))))</f>
        <v/>
      </c>
      <c r="S74" s="37" t="str">
        <f aca="false">IF(I74="","",IFERROR(INDEX(Reference!$B$4:$B$10,MATCH(I74,Reference!$A$4:$A$10,0)),0))</f>
        <v/>
      </c>
      <c r="T74" s="35" t="str">
        <f aca="false">IF(C74="","",IF(I74="Enrolled","Enrolled — welcome them and ask for a referral",IF(I74="Lost","Closed out — add to a win-back nurture sequence",IF(Q74="Overdue","OVERDUE — contact "&amp;C74&amp;" today, follow-up was due "&amp;TEXT(K74,"m/d"),IF(R74="Hot","Priority call/text "&amp;C74&amp;" — high interest, "&amp;TEXT(N74,"$#,##0")&amp;" opportunity",IF(R74="Warm","Send "&amp;C74&amp;" info on the "&amp;M74&amp;" and confirm next step","Light-touch check-in with "&amp;C74&amp;" to re-engage"))))))</f>
        <v/>
      </c>
      <c r="U74" s="1" t="n">
        <f aca="false">IF(R74="Hot",N74+ROW()/100000,-1)</f>
        <v>-1</v>
      </c>
      <c r="V74" s="1" t="n">
        <f aca="false">IF(OR(Q74="Overdue",Q74="Due Today"),IF(Q74="Overdue",2000000,1000000)-ROW(),-1)</f>
        <v>-1</v>
      </c>
    </row>
    <row r="75" customFormat="false" ht="15" hidden="false" customHeight="true" outlineLevel="0" collapsed="false">
      <c r="A75" s="33"/>
      <c r="B75" s="39"/>
      <c r="C75" s="39"/>
      <c r="D75" s="39"/>
      <c r="E75" s="39"/>
      <c r="F75" s="39"/>
      <c r="G75" s="40"/>
      <c r="H75" s="39"/>
      <c r="I75" s="39"/>
      <c r="J75" s="39"/>
      <c r="K75" s="39"/>
      <c r="L75" s="39"/>
      <c r="M75" s="39"/>
      <c r="N75" s="41"/>
      <c r="O75" s="39"/>
      <c r="P75" s="33" t="str">
        <f aca="true">IF(B75="","",TODAY()-B75)</f>
        <v/>
      </c>
      <c r="Q75" s="33" t="str">
        <f aca="true">IF(OR(K75="",I75="Enrolled",I75="Lost"),"--",IF(K75&lt;TODAY(),"Overdue",IF(K75=TODAY(),"Due Today","Upcoming")))</f>
        <v>--</v>
      </c>
      <c r="R75" s="33" t="str">
        <f aca="false">IF(C75="","",IF(OR(I75="Enrolled",I75="Lost"),"Closed",IF(OR(I75="Appointment Booked",I75="Trial Completed",O75&gt;=5,AND(I75="Qualified",O75&gt;=4)),"Hot",IF(OR(I75="Qualified",I75="Contacted",O75=3),"Warm","Cold"))))</f>
        <v/>
      </c>
      <c r="S75" s="37" t="str">
        <f aca="false">IF(I75="","",IFERROR(INDEX(Reference!$B$4:$B$10,MATCH(I75,Reference!$A$4:$A$10,0)),0))</f>
        <v/>
      </c>
      <c r="T75" s="35" t="str">
        <f aca="false">IF(C75="","",IF(I75="Enrolled","Enrolled — welcome them and ask for a referral",IF(I75="Lost","Closed out — add to a win-back nurture sequence",IF(Q75="Overdue","OVERDUE — contact "&amp;C75&amp;" today, follow-up was due "&amp;TEXT(K75,"m/d"),IF(R75="Hot","Priority call/text "&amp;C75&amp;" — high interest, "&amp;TEXT(N75,"$#,##0")&amp;" opportunity",IF(R75="Warm","Send "&amp;C75&amp;" info on the "&amp;M75&amp;" and confirm next step","Light-touch check-in with "&amp;C75&amp;" to re-engage"))))))</f>
        <v/>
      </c>
      <c r="U75" s="1" t="n">
        <f aca="false">IF(R75="Hot",N75+ROW()/100000,-1)</f>
        <v>-1</v>
      </c>
      <c r="V75" s="1" t="n">
        <f aca="false">IF(OR(Q75="Overdue",Q75="Due Today"),IF(Q75="Overdue",2000000,1000000)-ROW(),-1)</f>
        <v>-1</v>
      </c>
    </row>
    <row r="76" customFormat="false" ht="15" hidden="false" customHeight="true" outlineLevel="0" collapsed="false">
      <c r="A76" s="33"/>
      <c r="B76" s="39"/>
      <c r="C76" s="39"/>
      <c r="D76" s="39"/>
      <c r="E76" s="39"/>
      <c r="F76" s="39"/>
      <c r="G76" s="40"/>
      <c r="H76" s="39"/>
      <c r="I76" s="39"/>
      <c r="J76" s="39"/>
      <c r="K76" s="39"/>
      <c r="L76" s="39"/>
      <c r="M76" s="39"/>
      <c r="N76" s="41"/>
      <c r="O76" s="39"/>
      <c r="P76" s="33" t="str">
        <f aca="true">IF(B76="","",TODAY()-B76)</f>
        <v/>
      </c>
      <c r="Q76" s="33" t="str">
        <f aca="true">IF(OR(K76="",I76="Enrolled",I76="Lost"),"--",IF(K76&lt;TODAY(),"Overdue",IF(K76=TODAY(),"Due Today","Upcoming")))</f>
        <v>--</v>
      </c>
      <c r="R76" s="33" t="str">
        <f aca="false">IF(C76="","",IF(OR(I76="Enrolled",I76="Lost"),"Closed",IF(OR(I76="Appointment Booked",I76="Trial Completed",O76&gt;=5,AND(I76="Qualified",O76&gt;=4)),"Hot",IF(OR(I76="Qualified",I76="Contacted",O76=3),"Warm","Cold"))))</f>
        <v/>
      </c>
      <c r="S76" s="37" t="str">
        <f aca="false">IF(I76="","",IFERROR(INDEX(Reference!$B$4:$B$10,MATCH(I76,Reference!$A$4:$A$10,0)),0))</f>
        <v/>
      </c>
      <c r="T76" s="35" t="str">
        <f aca="false">IF(C76="","",IF(I76="Enrolled","Enrolled — welcome them and ask for a referral",IF(I76="Lost","Closed out — add to a win-back nurture sequence",IF(Q76="Overdue","OVERDUE — contact "&amp;C76&amp;" today, follow-up was due "&amp;TEXT(K76,"m/d"),IF(R76="Hot","Priority call/text "&amp;C76&amp;" — high interest, "&amp;TEXT(N76,"$#,##0")&amp;" opportunity",IF(R76="Warm","Send "&amp;C76&amp;" info on the "&amp;M76&amp;" and confirm next step","Light-touch check-in with "&amp;C76&amp;" to re-engage"))))))</f>
        <v/>
      </c>
      <c r="U76" s="1" t="n">
        <f aca="false">IF(R76="Hot",N76+ROW()/100000,-1)</f>
        <v>-1</v>
      </c>
      <c r="V76" s="1" t="n">
        <f aca="false">IF(OR(Q76="Overdue",Q76="Due Today"),IF(Q76="Overdue",2000000,1000000)-ROW(),-1)</f>
        <v>-1</v>
      </c>
    </row>
    <row r="77" customFormat="false" ht="15" hidden="false" customHeight="true" outlineLevel="0" collapsed="false">
      <c r="A77" s="33"/>
      <c r="B77" s="39"/>
      <c r="C77" s="39"/>
      <c r="D77" s="39"/>
      <c r="E77" s="39"/>
      <c r="F77" s="39"/>
      <c r="G77" s="40"/>
      <c r="H77" s="39"/>
      <c r="I77" s="39"/>
      <c r="J77" s="39"/>
      <c r="K77" s="39"/>
      <c r="L77" s="39"/>
      <c r="M77" s="39"/>
      <c r="N77" s="41"/>
      <c r="O77" s="39"/>
      <c r="P77" s="33" t="str">
        <f aca="true">IF(B77="","",TODAY()-B77)</f>
        <v/>
      </c>
      <c r="Q77" s="33" t="str">
        <f aca="true">IF(OR(K77="",I77="Enrolled",I77="Lost"),"--",IF(K77&lt;TODAY(),"Overdue",IF(K77=TODAY(),"Due Today","Upcoming")))</f>
        <v>--</v>
      </c>
      <c r="R77" s="33" t="str">
        <f aca="false">IF(C77="","",IF(OR(I77="Enrolled",I77="Lost"),"Closed",IF(OR(I77="Appointment Booked",I77="Trial Completed",O77&gt;=5,AND(I77="Qualified",O77&gt;=4)),"Hot",IF(OR(I77="Qualified",I77="Contacted",O77=3),"Warm","Cold"))))</f>
        <v/>
      </c>
      <c r="S77" s="37" t="str">
        <f aca="false">IF(I77="","",IFERROR(INDEX(Reference!$B$4:$B$10,MATCH(I77,Reference!$A$4:$A$10,0)),0))</f>
        <v/>
      </c>
      <c r="T77" s="35" t="str">
        <f aca="false">IF(C77="","",IF(I77="Enrolled","Enrolled — welcome them and ask for a referral",IF(I77="Lost","Closed out — add to a win-back nurture sequence",IF(Q77="Overdue","OVERDUE — contact "&amp;C77&amp;" today, follow-up was due "&amp;TEXT(K77,"m/d"),IF(R77="Hot","Priority call/text "&amp;C77&amp;" — high interest, "&amp;TEXT(N77,"$#,##0")&amp;" opportunity",IF(R77="Warm","Send "&amp;C77&amp;" info on the "&amp;M77&amp;" and confirm next step","Light-touch check-in with "&amp;C77&amp;" to re-engage"))))))</f>
        <v/>
      </c>
      <c r="U77" s="1" t="n">
        <f aca="false">IF(R77="Hot",N77+ROW()/100000,-1)</f>
        <v>-1</v>
      </c>
      <c r="V77" s="1" t="n">
        <f aca="false">IF(OR(Q77="Overdue",Q77="Due Today"),IF(Q77="Overdue",2000000,1000000)-ROW(),-1)</f>
        <v>-1</v>
      </c>
    </row>
    <row r="78" customFormat="false" ht="15" hidden="false" customHeight="true" outlineLevel="0" collapsed="false">
      <c r="A78" s="33"/>
      <c r="B78" s="39"/>
      <c r="C78" s="39"/>
      <c r="D78" s="39"/>
      <c r="E78" s="39"/>
      <c r="F78" s="39"/>
      <c r="G78" s="40"/>
      <c r="H78" s="39"/>
      <c r="I78" s="39"/>
      <c r="J78" s="39"/>
      <c r="K78" s="39"/>
      <c r="L78" s="39"/>
      <c r="M78" s="39"/>
      <c r="N78" s="41"/>
      <c r="O78" s="39"/>
      <c r="P78" s="33" t="str">
        <f aca="true">IF(B78="","",TODAY()-B78)</f>
        <v/>
      </c>
      <c r="Q78" s="33" t="str">
        <f aca="true">IF(OR(K78="",I78="Enrolled",I78="Lost"),"--",IF(K78&lt;TODAY(),"Overdue",IF(K78=TODAY(),"Due Today","Upcoming")))</f>
        <v>--</v>
      </c>
      <c r="R78" s="33" t="str">
        <f aca="false">IF(C78="","",IF(OR(I78="Enrolled",I78="Lost"),"Closed",IF(OR(I78="Appointment Booked",I78="Trial Completed",O78&gt;=5,AND(I78="Qualified",O78&gt;=4)),"Hot",IF(OR(I78="Qualified",I78="Contacted",O78=3),"Warm","Cold"))))</f>
        <v/>
      </c>
      <c r="S78" s="37" t="str">
        <f aca="false">IF(I78="","",IFERROR(INDEX(Reference!$B$4:$B$10,MATCH(I78,Reference!$A$4:$A$10,0)),0))</f>
        <v/>
      </c>
      <c r="T78" s="35" t="str">
        <f aca="false">IF(C78="","",IF(I78="Enrolled","Enrolled — welcome them and ask for a referral",IF(I78="Lost","Closed out — add to a win-back nurture sequence",IF(Q78="Overdue","OVERDUE — contact "&amp;C78&amp;" today, follow-up was due "&amp;TEXT(K78,"m/d"),IF(R78="Hot","Priority call/text "&amp;C78&amp;" — high interest, "&amp;TEXT(N78,"$#,##0")&amp;" opportunity",IF(R78="Warm","Send "&amp;C78&amp;" info on the "&amp;M78&amp;" and confirm next step","Light-touch check-in with "&amp;C78&amp;" to re-engage"))))))</f>
        <v/>
      </c>
      <c r="U78" s="1" t="n">
        <f aca="false">IF(R78="Hot",N78+ROW()/100000,-1)</f>
        <v>-1</v>
      </c>
      <c r="V78" s="1" t="n">
        <f aca="false">IF(OR(Q78="Overdue",Q78="Due Today"),IF(Q78="Overdue",2000000,1000000)-ROW(),-1)</f>
        <v>-1</v>
      </c>
    </row>
    <row r="79" customFormat="false" ht="15" hidden="false" customHeight="true" outlineLevel="0" collapsed="false">
      <c r="A79" s="33"/>
      <c r="B79" s="39"/>
      <c r="C79" s="39"/>
      <c r="D79" s="39"/>
      <c r="E79" s="39"/>
      <c r="F79" s="39"/>
      <c r="G79" s="40"/>
      <c r="H79" s="39"/>
      <c r="I79" s="39"/>
      <c r="J79" s="39"/>
      <c r="K79" s="39"/>
      <c r="L79" s="39"/>
      <c r="M79" s="39"/>
      <c r="N79" s="41"/>
      <c r="O79" s="39"/>
      <c r="P79" s="33" t="str">
        <f aca="true">IF(B79="","",TODAY()-B79)</f>
        <v/>
      </c>
      <c r="Q79" s="33" t="str">
        <f aca="true">IF(OR(K79="",I79="Enrolled",I79="Lost"),"--",IF(K79&lt;TODAY(),"Overdue",IF(K79=TODAY(),"Due Today","Upcoming")))</f>
        <v>--</v>
      </c>
      <c r="R79" s="33" t="str">
        <f aca="false">IF(C79="","",IF(OR(I79="Enrolled",I79="Lost"),"Closed",IF(OR(I79="Appointment Booked",I79="Trial Completed",O79&gt;=5,AND(I79="Qualified",O79&gt;=4)),"Hot",IF(OR(I79="Qualified",I79="Contacted",O79=3),"Warm","Cold"))))</f>
        <v/>
      </c>
      <c r="S79" s="37" t="str">
        <f aca="false">IF(I79="","",IFERROR(INDEX(Reference!$B$4:$B$10,MATCH(I79,Reference!$A$4:$A$10,0)),0))</f>
        <v/>
      </c>
      <c r="T79" s="35" t="str">
        <f aca="false">IF(C79="","",IF(I79="Enrolled","Enrolled — welcome them and ask for a referral",IF(I79="Lost","Closed out — add to a win-back nurture sequence",IF(Q79="Overdue","OVERDUE — contact "&amp;C79&amp;" today, follow-up was due "&amp;TEXT(K79,"m/d"),IF(R79="Hot","Priority call/text "&amp;C79&amp;" — high interest, "&amp;TEXT(N79,"$#,##0")&amp;" opportunity",IF(R79="Warm","Send "&amp;C79&amp;" info on the "&amp;M79&amp;" and confirm next step","Light-touch check-in with "&amp;C79&amp;" to re-engage"))))))</f>
        <v/>
      </c>
      <c r="U79" s="1" t="n">
        <f aca="false">IF(R79="Hot",N79+ROW()/100000,-1)</f>
        <v>-1</v>
      </c>
      <c r="V79" s="1" t="n">
        <f aca="false">IF(OR(Q79="Overdue",Q79="Due Today"),IF(Q79="Overdue",2000000,1000000)-ROW(),-1)</f>
        <v>-1</v>
      </c>
    </row>
    <row r="80" customFormat="false" ht="15" hidden="false" customHeight="true" outlineLevel="0" collapsed="false">
      <c r="A80" s="33"/>
      <c r="B80" s="39"/>
      <c r="C80" s="39"/>
      <c r="D80" s="39"/>
      <c r="E80" s="39"/>
      <c r="F80" s="39"/>
      <c r="G80" s="40"/>
      <c r="H80" s="39"/>
      <c r="I80" s="39"/>
      <c r="J80" s="39"/>
      <c r="K80" s="39"/>
      <c r="L80" s="39"/>
      <c r="M80" s="39"/>
      <c r="N80" s="41"/>
      <c r="O80" s="39"/>
      <c r="P80" s="33" t="str">
        <f aca="true">IF(B80="","",TODAY()-B80)</f>
        <v/>
      </c>
      <c r="Q80" s="33" t="str">
        <f aca="true">IF(OR(K80="",I80="Enrolled",I80="Lost"),"--",IF(K80&lt;TODAY(),"Overdue",IF(K80=TODAY(),"Due Today","Upcoming")))</f>
        <v>--</v>
      </c>
      <c r="R80" s="33" t="str">
        <f aca="false">IF(C80="","",IF(OR(I80="Enrolled",I80="Lost"),"Closed",IF(OR(I80="Appointment Booked",I80="Trial Completed",O80&gt;=5,AND(I80="Qualified",O80&gt;=4)),"Hot",IF(OR(I80="Qualified",I80="Contacted",O80=3),"Warm","Cold"))))</f>
        <v/>
      </c>
      <c r="S80" s="37" t="str">
        <f aca="false">IF(I80="","",IFERROR(INDEX(Reference!$B$4:$B$10,MATCH(I80,Reference!$A$4:$A$10,0)),0))</f>
        <v/>
      </c>
      <c r="T80" s="35" t="str">
        <f aca="false">IF(C80="","",IF(I80="Enrolled","Enrolled — welcome them and ask for a referral",IF(I80="Lost","Closed out — add to a win-back nurture sequence",IF(Q80="Overdue","OVERDUE — contact "&amp;C80&amp;" today, follow-up was due "&amp;TEXT(K80,"m/d"),IF(R80="Hot","Priority call/text "&amp;C80&amp;" — high interest, "&amp;TEXT(N80,"$#,##0")&amp;" opportunity",IF(R80="Warm","Send "&amp;C80&amp;" info on the "&amp;M80&amp;" and confirm next step","Light-touch check-in with "&amp;C80&amp;" to re-engage"))))))</f>
        <v/>
      </c>
      <c r="U80" s="1" t="n">
        <f aca="false">IF(R80="Hot",N80+ROW()/100000,-1)</f>
        <v>-1</v>
      </c>
      <c r="V80" s="1" t="n">
        <f aca="false">IF(OR(Q80="Overdue",Q80="Due Today"),IF(Q80="Overdue",2000000,1000000)-ROW(),-1)</f>
        <v>-1</v>
      </c>
    </row>
    <row r="81" customFormat="false" ht="15" hidden="false" customHeight="true" outlineLevel="0" collapsed="false">
      <c r="A81" s="33"/>
      <c r="B81" s="39"/>
      <c r="C81" s="39"/>
      <c r="D81" s="39"/>
      <c r="E81" s="39"/>
      <c r="F81" s="39"/>
      <c r="G81" s="40"/>
      <c r="H81" s="39"/>
      <c r="I81" s="39"/>
      <c r="J81" s="39"/>
      <c r="K81" s="39"/>
      <c r="L81" s="39"/>
      <c r="M81" s="39"/>
      <c r="N81" s="41"/>
      <c r="O81" s="39"/>
      <c r="P81" s="33" t="str">
        <f aca="true">IF(B81="","",TODAY()-B81)</f>
        <v/>
      </c>
      <c r="Q81" s="33" t="str">
        <f aca="true">IF(OR(K81="",I81="Enrolled",I81="Lost"),"--",IF(K81&lt;TODAY(),"Overdue",IF(K81=TODAY(),"Due Today","Upcoming")))</f>
        <v>--</v>
      </c>
      <c r="R81" s="33" t="str">
        <f aca="false">IF(C81="","",IF(OR(I81="Enrolled",I81="Lost"),"Closed",IF(OR(I81="Appointment Booked",I81="Trial Completed",O81&gt;=5,AND(I81="Qualified",O81&gt;=4)),"Hot",IF(OR(I81="Qualified",I81="Contacted",O81=3),"Warm","Cold"))))</f>
        <v/>
      </c>
      <c r="S81" s="37" t="str">
        <f aca="false">IF(I81="","",IFERROR(INDEX(Reference!$B$4:$B$10,MATCH(I81,Reference!$A$4:$A$10,0)),0))</f>
        <v/>
      </c>
      <c r="T81" s="35" t="str">
        <f aca="false">IF(C81="","",IF(I81="Enrolled","Enrolled — welcome them and ask for a referral",IF(I81="Lost","Closed out — add to a win-back nurture sequence",IF(Q81="Overdue","OVERDUE — contact "&amp;C81&amp;" today, follow-up was due "&amp;TEXT(K81,"m/d"),IF(R81="Hot","Priority call/text "&amp;C81&amp;" — high interest, "&amp;TEXT(N81,"$#,##0")&amp;" opportunity",IF(R81="Warm","Send "&amp;C81&amp;" info on the "&amp;M81&amp;" and confirm next step","Light-touch check-in with "&amp;C81&amp;" to re-engage"))))))</f>
        <v/>
      </c>
      <c r="U81" s="1" t="n">
        <f aca="false">IF(R81="Hot",N81+ROW()/100000,-1)</f>
        <v>-1</v>
      </c>
      <c r="V81" s="1" t="n">
        <f aca="false">IF(OR(Q81="Overdue",Q81="Due Today"),IF(Q81="Overdue",2000000,1000000)-ROW(),-1)</f>
        <v>-1</v>
      </c>
    </row>
    <row r="82" customFormat="false" ht="15" hidden="false" customHeight="true" outlineLevel="0" collapsed="false">
      <c r="A82" s="33"/>
      <c r="B82" s="39"/>
      <c r="C82" s="39"/>
      <c r="D82" s="39"/>
      <c r="E82" s="39"/>
      <c r="F82" s="39"/>
      <c r="G82" s="40"/>
      <c r="H82" s="39"/>
      <c r="I82" s="39"/>
      <c r="J82" s="39"/>
      <c r="K82" s="39"/>
      <c r="L82" s="39"/>
      <c r="M82" s="39"/>
      <c r="N82" s="41"/>
      <c r="O82" s="39"/>
      <c r="P82" s="33" t="str">
        <f aca="true">IF(B82="","",TODAY()-B82)</f>
        <v/>
      </c>
      <c r="Q82" s="33" t="str">
        <f aca="true">IF(OR(K82="",I82="Enrolled",I82="Lost"),"--",IF(K82&lt;TODAY(),"Overdue",IF(K82=TODAY(),"Due Today","Upcoming")))</f>
        <v>--</v>
      </c>
      <c r="R82" s="33" t="str">
        <f aca="false">IF(C82="","",IF(OR(I82="Enrolled",I82="Lost"),"Closed",IF(OR(I82="Appointment Booked",I82="Trial Completed",O82&gt;=5,AND(I82="Qualified",O82&gt;=4)),"Hot",IF(OR(I82="Qualified",I82="Contacted",O82=3),"Warm","Cold"))))</f>
        <v/>
      </c>
      <c r="S82" s="37" t="str">
        <f aca="false">IF(I82="","",IFERROR(INDEX(Reference!$B$4:$B$10,MATCH(I82,Reference!$A$4:$A$10,0)),0))</f>
        <v/>
      </c>
      <c r="T82" s="35" t="str">
        <f aca="false">IF(C82="","",IF(I82="Enrolled","Enrolled — welcome them and ask for a referral",IF(I82="Lost","Closed out — add to a win-back nurture sequence",IF(Q82="Overdue","OVERDUE — contact "&amp;C82&amp;" today, follow-up was due "&amp;TEXT(K82,"m/d"),IF(R82="Hot","Priority call/text "&amp;C82&amp;" — high interest, "&amp;TEXT(N82,"$#,##0")&amp;" opportunity",IF(R82="Warm","Send "&amp;C82&amp;" info on the "&amp;M82&amp;" and confirm next step","Light-touch check-in with "&amp;C82&amp;" to re-engage"))))))</f>
        <v/>
      </c>
      <c r="U82" s="1" t="n">
        <f aca="false">IF(R82="Hot",N82+ROW()/100000,-1)</f>
        <v>-1</v>
      </c>
      <c r="V82" s="1" t="n">
        <f aca="false">IF(OR(Q82="Overdue",Q82="Due Today"),IF(Q82="Overdue",2000000,1000000)-ROW(),-1)</f>
        <v>-1</v>
      </c>
    </row>
    <row r="83" customFormat="false" ht="15" hidden="false" customHeight="true" outlineLevel="0" collapsed="false">
      <c r="A83" s="33"/>
      <c r="B83" s="39"/>
      <c r="C83" s="39"/>
      <c r="D83" s="39"/>
      <c r="E83" s="39"/>
      <c r="F83" s="39"/>
      <c r="G83" s="40"/>
      <c r="H83" s="39"/>
      <c r="I83" s="39"/>
      <c r="J83" s="39"/>
      <c r="K83" s="39"/>
      <c r="L83" s="39"/>
      <c r="M83" s="39"/>
      <c r="N83" s="41"/>
      <c r="O83" s="39"/>
      <c r="P83" s="33" t="str">
        <f aca="true">IF(B83="","",TODAY()-B83)</f>
        <v/>
      </c>
      <c r="Q83" s="33" t="str">
        <f aca="true">IF(OR(K83="",I83="Enrolled",I83="Lost"),"--",IF(K83&lt;TODAY(),"Overdue",IF(K83=TODAY(),"Due Today","Upcoming")))</f>
        <v>--</v>
      </c>
      <c r="R83" s="33" t="str">
        <f aca="false">IF(C83="","",IF(OR(I83="Enrolled",I83="Lost"),"Closed",IF(OR(I83="Appointment Booked",I83="Trial Completed",O83&gt;=5,AND(I83="Qualified",O83&gt;=4)),"Hot",IF(OR(I83="Qualified",I83="Contacted",O83=3),"Warm","Cold"))))</f>
        <v/>
      </c>
      <c r="S83" s="37" t="str">
        <f aca="false">IF(I83="","",IFERROR(INDEX(Reference!$B$4:$B$10,MATCH(I83,Reference!$A$4:$A$10,0)),0))</f>
        <v/>
      </c>
      <c r="T83" s="35" t="str">
        <f aca="false">IF(C83="","",IF(I83="Enrolled","Enrolled — welcome them and ask for a referral",IF(I83="Lost","Closed out — add to a win-back nurture sequence",IF(Q83="Overdue","OVERDUE — contact "&amp;C83&amp;" today, follow-up was due "&amp;TEXT(K83,"m/d"),IF(R83="Hot","Priority call/text "&amp;C83&amp;" — high interest, "&amp;TEXT(N83,"$#,##0")&amp;" opportunity",IF(R83="Warm","Send "&amp;C83&amp;" info on the "&amp;M83&amp;" and confirm next step","Light-touch check-in with "&amp;C83&amp;" to re-engage"))))))</f>
        <v/>
      </c>
      <c r="U83" s="1" t="n">
        <f aca="false">IF(R83="Hot",N83+ROW()/100000,-1)</f>
        <v>-1</v>
      </c>
      <c r="V83" s="1" t="n">
        <f aca="false">IF(OR(Q83="Overdue",Q83="Due Today"),IF(Q83="Overdue",2000000,1000000)-ROW(),-1)</f>
        <v>-1</v>
      </c>
    </row>
    <row r="84" customFormat="false" ht="15" hidden="false" customHeight="true" outlineLevel="0" collapsed="false">
      <c r="A84" s="33"/>
      <c r="B84" s="39"/>
      <c r="C84" s="39"/>
      <c r="D84" s="39"/>
      <c r="E84" s="39"/>
      <c r="F84" s="39"/>
      <c r="G84" s="40"/>
      <c r="H84" s="39"/>
      <c r="I84" s="39"/>
      <c r="J84" s="39"/>
      <c r="K84" s="39"/>
      <c r="L84" s="39"/>
      <c r="M84" s="39"/>
      <c r="N84" s="41"/>
      <c r="O84" s="39"/>
      <c r="P84" s="33" t="str">
        <f aca="true">IF(B84="","",TODAY()-B84)</f>
        <v/>
      </c>
      <c r="Q84" s="33" t="str">
        <f aca="true">IF(OR(K84="",I84="Enrolled",I84="Lost"),"--",IF(K84&lt;TODAY(),"Overdue",IF(K84=TODAY(),"Due Today","Upcoming")))</f>
        <v>--</v>
      </c>
      <c r="R84" s="33" t="str">
        <f aca="false">IF(C84="","",IF(OR(I84="Enrolled",I84="Lost"),"Closed",IF(OR(I84="Appointment Booked",I84="Trial Completed",O84&gt;=5,AND(I84="Qualified",O84&gt;=4)),"Hot",IF(OR(I84="Qualified",I84="Contacted",O84=3),"Warm","Cold"))))</f>
        <v/>
      </c>
      <c r="S84" s="37" t="str">
        <f aca="false">IF(I84="","",IFERROR(INDEX(Reference!$B$4:$B$10,MATCH(I84,Reference!$A$4:$A$10,0)),0))</f>
        <v/>
      </c>
      <c r="T84" s="35" t="str">
        <f aca="false">IF(C84="","",IF(I84="Enrolled","Enrolled — welcome them and ask for a referral",IF(I84="Lost","Closed out — add to a win-back nurture sequence",IF(Q84="Overdue","OVERDUE — contact "&amp;C84&amp;" today, follow-up was due "&amp;TEXT(K84,"m/d"),IF(R84="Hot","Priority call/text "&amp;C84&amp;" — high interest, "&amp;TEXT(N84,"$#,##0")&amp;" opportunity",IF(R84="Warm","Send "&amp;C84&amp;" info on the "&amp;M84&amp;" and confirm next step","Light-touch check-in with "&amp;C84&amp;" to re-engage"))))))</f>
        <v/>
      </c>
      <c r="U84" s="1" t="n">
        <f aca="false">IF(R84="Hot",N84+ROW()/100000,-1)</f>
        <v>-1</v>
      </c>
      <c r="V84" s="1" t="n">
        <f aca="false">IF(OR(Q84="Overdue",Q84="Due Today"),IF(Q84="Overdue",2000000,1000000)-ROW(),-1)</f>
        <v>-1</v>
      </c>
    </row>
    <row r="85" customFormat="false" ht="15" hidden="false" customHeight="true" outlineLevel="0" collapsed="false">
      <c r="A85" s="33"/>
      <c r="B85" s="39"/>
      <c r="C85" s="39"/>
      <c r="D85" s="39"/>
      <c r="E85" s="39"/>
      <c r="F85" s="39"/>
      <c r="G85" s="40"/>
      <c r="H85" s="39"/>
      <c r="I85" s="39"/>
      <c r="J85" s="39"/>
      <c r="K85" s="39"/>
      <c r="L85" s="39"/>
      <c r="M85" s="39"/>
      <c r="N85" s="41"/>
      <c r="O85" s="39"/>
      <c r="P85" s="33" t="str">
        <f aca="true">IF(B85="","",TODAY()-B85)</f>
        <v/>
      </c>
      <c r="Q85" s="33" t="str">
        <f aca="true">IF(OR(K85="",I85="Enrolled",I85="Lost"),"--",IF(K85&lt;TODAY(),"Overdue",IF(K85=TODAY(),"Due Today","Upcoming")))</f>
        <v>--</v>
      </c>
      <c r="R85" s="33" t="str">
        <f aca="false">IF(C85="","",IF(OR(I85="Enrolled",I85="Lost"),"Closed",IF(OR(I85="Appointment Booked",I85="Trial Completed",O85&gt;=5,AND(I85="Qualified",O85&gt;=4)),"Hot",IF(OR(I85="Qualified",I85="Contacted",O85=3),"Warm","Cold"))))</f>
        <v/>
      </c>
      <c r="S85" s="37" t="str">
        <f aca="false">IF(I85="","",IFERROR(INDEX(Reference!$B$4:$B$10,MATCH(I85,Reference!$A$4:$A$10,0)),0))</f>
        <v/>
      </c>
      <c r="T85" s="35" t="str">
        <f aca="false">IF(C85="","",IF(I85="Enrolled","Enrolled — welcome them and ask for a referral",IF(I85="Lost","Closed out — add to a win-back nurture sequence",IF(Q85="Overdue","OVERDUE — contact "&amp;C85&amp;" today, follow-up was due "&amp;TEXT(K85,"m/d"),IF(R85="Hot","Priority call/text "&amp;C85&amp;" — high interest, "&amp;TEXT(N85,"$#,##0")&amp;" opportunity",IF(R85="Warm","Send "&amp;C85&amp;" info on the "&amp;M85&amp;" and confirm next step","Light-touch check-in with "&amp;C85&amp;" to re-engage"))))))</f>
        <v/>
      </c>
      <c r="U85" s="1" t="n">
        <f aca="false">IF(R85="Hot",N85+ROW()/100000,-1)</f>
        <v>-1</v>
      </c>
      <c r="V85" s="1" t="n">
        <f aca="false">IF(OR(Q85="Overdue",Q85="Due Today"),IF(Q85="Overdue",2000000,1000000)-ROW(),-1)</f>
        <v>-1</v>
      </c>
    </row>
    <row r="86" customFormat="false" ht="15" hidden="false" customHeight="true" outlineLevel="0" collapsed="false">
      <c r="A86" s="33"/>
      <c r="B86" s="39"/>
      <c r="C86" s="39"/>
      <c r="D86" s="39"/>
      <c r="E86" s="39"/>
      <c r="F86" s="39"/>
      <c r="G86" s="40"/>
      <c r="H86" s="39"/>
      <c r="I86" s="39"/>
      <c r="J86" s="39"/>
      <c r="K86" s="39"/>
      <c r="L86" s="39"/>
      <c r="M86" s="39"/>
      <c r="N86" s="41"/>
      <c r="O86" s="39"/>
      <c r="P86" s="33" t="str">
        <f aca="true">IF(B86="","",TODAY()-B86)</f>
        <v/>
      </c>
      <c r="Q86" s="33" t="str">
        <f aca="true">IF(OR(K86="",I86="Enrolled",I86="Lost"),"--",IF(K86&lt;TODAY(),"Overdue",IF(K86=TODAY(),"Due Today","Upcoming")))</f>
        <v>--</v>
      </c>
      <c r="R86" s="33" t="str">
        <f aca="false">IF(C86="","",IF(OR(I86="Enrolled",I86="Lost"),"Closed",IF(OR(I86="Appointment Booked",I86="Trial Completed",O86&gt;=5,AND(I86="Qualified",O86&gt;=4)),"Hot",IF(OR(I86="Qualified",I86="Contacted",O86=3),"Warm","Cold"))))</f>
        <v/>
      </c>
      <c r="S86" s="37" t="str">
        <f aca="false">IF(I86="","",IFERROR(INDEX(Reference!$B$4:$B$10,MATCH(I86,Reference!$A$4:$A$10,0)),0))</f>
        <v/>
      </c>
      <c r="T86" s="35" t="str">
        <f aca="false">IF(C86="","",IF(I86="Enrolled","Enrolled — welcome them and ask for a referral",IF(I86="Lost","Closed out — add to a win-back nurture sequence",IF(Q86="Overdue","OVERDUE — contact "&amp;C86&amp;" today, follow-up was due "&amp;TEXT(K86,"m/d"),IF(R86="Hot","Priority call/text "&amp;C86&amp;" — high interest, "&amp;TEXT(N86,"$#,##0")&amp;" opportunity",IF(R86="Warm","Send "&amp;C86&amp;" info on the "&amp;M86&amp;" and confirm next step","Light-touch check-in with "&amp;C86&amp;" to re-engage"))))))</f>
        <v/>
      </c>
      <c r="U86" s="1" t="n">
        <f aca="false">IF(R86="Hot",N86+ROW()/100000,-1)</f>
        <v>-1</v>
      </c>
      <c r="V86" s="1" t="n">
        <f aca="false">IF(OR(Q86="Overdue",Q86="Due Today"),IF(Q86="Overdue",2000000,1000000)-ROW(),-1)</f>
        <v>-1</v>
      </c>
    </row>
    <row r="87" customFormat="false" ht="15" hidden="false" customHeight="true" outlineLevel="0" collapsed="false">
      <c r="A87" s="33"/>
      <c r="B87" s="39"/>
      <c r="C87" s="39"/>
      <c r="D87" s="39"/>
      <c r="E87" s="39"/>
      <c r="F87" s="39"/>
      <c r="G87" s="40"/>
      <c r="H87" s="39"/>
      <c r="I87" s="39"/>
      <c r="J87" s="39"/>
      <c r="K87" s="39"/>
      <c r="L87" s="39"/>
      <c r="M87" s="39"/>
      <c r="N87" s="41"/>
      <c r="O87" s="39"/>
      <c r="P87" s="33" t="str">
        <f aca="true">IF(B87="","",TODAY()-B87)</f>
        <v/>
      </c>
      <c r="Q87" s="33" t="str">
        <f aca="true">IF(OR(K87="",I87="Enrolled",I87="Lost"),"--",IF(K87&lt;TODAY(),"Overdue",IF(K87=TODAY(),"Due Today","Upcoming")))</f>
        <v>--</v>
      </c>
      <c r="R87" s="33" t="str">
        <f aca="false">IF(C87="","",IF(OR(I87="Enrolled",I87="Lost"),"Closed",IF(OR(I87="Appointment Booked",I87="Trial Completed",O87&gt;=5,AND(I87="Qualified",O87&gt;=4)),"Hot",IF(OR(I87="Qualified",I87="Contacted",O87=3),"Warm","Cold"))))</f>
        <v/>
      </c>
      <c r="S87" s="37" t="str">
        <f aca="false">IF(I87="","",IFERROR(INDEX(Reference!$B$4:$B$10,MATCH(I87,Reference!$A$4:$A$10,0)),0))</f>
        <v/>
      </c>
      <c r="T87" s="35" t="str">
        <f aca="false">IF(C87="","",IF(I87="Enrolled","Enrolled — welcome them and ask for a referral",IF(I87="Lost","Closed out — add to a win-back nurture sequence",IF(Q87="Overdue","OVERDUE — contact "&amp;C87&amp;" today, follow-up was due "&amp;TEXT(K87,"m/d"),IF(R87="Hot","Priority call/text "&amp;C87&amp;" — high interest, "&amp;TEXT(N87,"$#,##0")&amp;" opportunity",IF(R87="Warm","Send "&amp;C87&amp;" info on the "&amp;M87&amp;" and confirm next step","Light-touch check-in with "&amp;C87&amp;" to re-engage"))))))</f>
        <v/>
      </c>
      <c r="U87" s="1" t="n">
        <f aca="false">IF(R87="Hot",N87+ROW()/100000,-1)</f>
        <v>-1</v>
      </c>
      <c r="V87" s="1" t="n">
        <f aca="false">IF(OR(Q87="Overdue",Q87="Due Today"),IF(Q87="Overdue",2000000,1000000)-ROW(),-1)</f>
        <v>-1</v>
      </c>
    </row>
    <row r="88" customFormat="false" ht="15" hidden="false" customHeight="true" outlineLevel="0" collapsed="false">
      <c r="A88" s="33"/>
      <c r="B88" s="39"/>
      <c r="C88" s="39"/>
      <c r="D88" s="39"/>
      <c r="E88" s="39"/>
      <c r="F88" s="39"/>
      <c r="G88" s="40"/>
      <c r="H88" s="39"/>
      <c r="I88" s="39"/>
      <c r="J88" s="39"/>
      <c r="K88" s="39"/>
      <c r="L88" s="39"/>
      <c r="M88" s="39"/>
      <c r="N88" s="41"/>
      <c r="O88" s="39"/>
      <c r="P88" s="33" t="str">
        <f aca="true">IF(B88="","",TODAY()-B88)</f>
        <v/>
      </c>
      <c r="Q88" s="33" t="str">
        <f aca="true">IF(OR(K88="",I88="Enrolled",I88="Lost"),"--",IF(K88&lt;TODAY(),"Overdue",IF(K88=TODAY(),"Due Today","Upcoming")))</f>
        <v>--</v>
      </c>
      <c r="R88" s="33" t="str">
        <f aca="false">IF(C88="","",IF(OR(I88="Enrolled",I88="Lost"),"Closed",IF(OR(I88="Appointment Booked",I88="Trial Completed",O88&gt;=5,AND(I88="Qualified",O88&gt;=4)),"Hot",IF(OR(I88="Qualified",I88="Contacted",O88=3),"Warm","Cold"))))</f>
        <v/>
      </c>
      <c r="S88" s="37" t="str">
        <f aca="false">IF(I88="","",IFERROR(INDEX(Reference!$B$4:$B$10,MATCH(I88,Reference!$A$4:$A$10,0)),0))</f>
        <v/>
      </c>
      <c r="T88" s="35" t="str">
        <f aca="false">IF(C88="","",IF(I88="Enrolled","Enrolled — welcome them and ask for a referral",IF(I88="Lost","Closed out — add to a win-back nurture sequence",IF(Q88="Overdue","OVERDUE — contact "&amp;C88&amp;" today, follow-up was due "&amp;TEXT(K88,"m/d"),IF(R88="Hot","Priority call/text "&amp;C88&amp;" — high interest, "&amp;TEXT(N88,"$#,##0")&amp;" opportunity",IF(R88="Warm","Send "&amp;C88&amp;" info on the "&amp;M88&amp;" and confirm next step","Light-touch check-in with "&amp;C88&amp;" to re-engage"))))))</f>
        <v/>
      </c>
      <c r="U88" s="1" t="n">
        <f aca="false">IF(R88="Hot",N88+ROW()/100000,-1)</f>
        <v>-1</v>
      </c>
      <c r="V88" s="1" t="n">
        <f aca="false">IF(OR(Q88="Overdue",Q88="Due Today"),IF(Q88="Overdue",2000000,1000000)-ROW(),-1)</f>
        <v>-1</v>
      </c>
    </row>
    <row r="89" customFormat="false" ht="15" hidden="false" customHeight="true" outlineLevel="0" collapsed="false">
      <c r="A89" s="33"/>
      <c r="B89" s="39"/>
      <c r="C89" s="39"/>
      <c r="D89" s="39"/>
      <c r="E89" s="39"/>
      <c r="F89" s="39"/>
      <c r="G89" s="40"/>
      <c r="H89" s="39"/>
      <c r="I89" s="39"/>
      <c r="J89" s="39"/>
      <c r="K89" s="39"/>
      <c r="L89" s="39"/>
      <c r="M89" s="39"/>
      <c r="N89" s="41"/>
      <c r="O89" s="39"/>
      <c r="P89" s="33" t="str">
        <f aca="true">IF(B89="","",TODAY()-B89)</f>
        <v/>
      </c>
      <c r="Q89" s="33" t="str">
        <f aca="true">IF(OR(K89="",I89="Enrolled",I89="Lost"),"--",IF(K89&lt;TODAY(),"Overdue",IF(K89=TODAY(),"Due Today","Upcoming")))</f>
        <v>--</v>
      </c>
      <c r="R89" s="33" t="str">
        <f aca="false">IF(C89="","",IF(OR(I89="Enrolled",I89="Lost"),"Closed",IF(OR(I89="Appointment Booked",I89="Trial Completed",O89&gt;=5,AND(I89="Qualified",O89&gt;=4)),"Hot",IF(OR(I89="Qualified",I89="Contacted",O89=3),"Warm","Cold"))))</f>
        <v/>
      </c>
      <c r="S89" s="37" t="str">
        <f aca="false">IF(I89="","",IFERROR(INDEX(Reference!$B$4:$B$10,MATCH(I89,Reference!$A$4:$A$10,0)),0))</f>
        <v/>
      </c>
      <c r="T89" s="35" t="str">
        <f aca="false">IF(C89="","",IF(I89="Enrolled","Enrolled — welcome them and ask for a referral",IF(I89="Lost","Closed out — add to a win-back nurture sequence",IF(Q89="Overdue","OVERDUE — contact "&amp;C89&amp;" today, follow-up was due "&amp;TEXT(K89,"m/d"),IF(R89="Hot","Priority call/text "&amp;C89&amp;" — high interest, "&amp;TEXT(N89,"$#,##0")&amp;" opportunity",IF(R89="Warm","Send "&amp;C89&amp;" info on the "&amp;M89&amp;" and confirm next step","Light-touch check-in with "&amp;C89&amp;" to re-engage"))))))</f>
        <v/>
      </c>
      <c r="U89" s="1" t="n">
        <f aca="false">IF(R89="Hot",N89+ROW()/100000,-1)</f>
        <v>-1</v>
      </c>
      <c r="V89" s="1" t="n">
        <f aca="false">IF(OR(Q89="Overdue",Q89="Due Today"),IF(Q89="Overdue",2000000,1000000)-ROW(),-1)</f>
        <v>-1</v>
      </c>
    </row>
    <row r="90" customFormat="false" ht="15" hidden="false" customHeight="true" outlineLevel="0" collapsed="false">
      <c r="A90" s="33"/>
      <c r="B90" s="39"/>
      <c r="C90" s="39"/>
      <c r="D90" s="39"/>
      <c r="E90" s="39"/>
      <c r="F90" s="39"/>
      <c r="G90" s="40"/>
      <c r="H90" s="39"/>
      <c r="I90" s="39"/>
      <c r="J90" s="39"/>
      <c r="K90" s="39"/>
      <c r="L90" s="39"/>
      <c r="M90" s="39"/>
      <c r="N90" s="41"/>
      <c r="O90" s="39"/>
      <c r="P90" s="33" t="str">
        <f aca="true">IF(B90="","",TODAY()-B90)</f>
        <v/>
      </c>
      <c r="Q90" s="33" t="str">
        <f aca="true">IF(OR(K90="",I90="Enrolled",I90="Lost"),"--",IF(K90&lt;TODAY(),"Overdue",IF(K90=TODAY(),"Due Today","Upcoming")))</f>
        <v>--</v>
      </c>
      <c r="R90" s="33" t="str">
        <f aca="false">IF(C90="","",IF(OR(I90="Enrolled",I90="Lost"),"Closed",IF(OR(I90="Appointment Booked",I90="Trial Completed",O90&gt;=5,AND(I90="Qualified",O90&gt;=4)),"Hot",IF(OR(I90="Qualified",I90="Contacted",O90=3),"Warm","Cold"))))</f>
        <v/>
      </c>
      <c r="S90" s="37" t="str">
        <f aca="false">IF(I90="","",IFERROR(INDEX(Reference!$B$4:$B$10,MATCH(I90,Reference!$A$4:$A$10,0)),0))</f>
        <v/>
      </c>
      <c r="T90" s="35" t="str">
        <f aca="false">IF(C90="","",IF(I90="Enrolled","Enrolled — welcome them and ask for a referral",IF(I90="Lost","Closed out — add to a win-back nurture sequence",IF(Q90="Overdue","OVERDUE — contact "&amp;C90&amp;" today, follow-up was due "&amp;TEXT(K90,"m/d"),IF(R90="Hot","Priority call/text "&amp;C90&amp;" — high interest, "&amp;TEXT(N90,"$#,##0")&amp;" opportunity",IF(R90="Warm","Send "&amp;C90&amp;" info on the "&amp;M90&amp;" and confirm next step","Light-touch check-in with "&amp;C90&amp;" to re-engage"))))))</f>
        <v/>
      </c>
      <c r="U90" s="1" t="n">
        <f aca="false">IF(R90="Hot",N90+ROW()/100000,-1)</f>
        <v>-1</v>
      </c>
      <c r="V90" s="1" t="n">
        <f aca="false">IF(OR(Q90="Overdue",Q90="Due Today"),IF(Q90="Overdue",2000000,1000000)-ROW(),-1)</f>
        <v>-1</v>
      </c>
    </row>
    <row r="91" customFormat="false" ht="15" hidden="false" customHeight="true" outlineLevel="0" collapsed="false">
      <c r="A91" s="33"/>
      <c r="B91" s="39"/>
      <c r="C91" s="39"/>
      <c r="D91" s="39"/>
      <c r="E91" s="39"/>
      <c r="F91" s="39"/>
      <c r="G91" s="40"/>
      <c r="H91" s="39"/>
      <c r="I91" s="39"/>
      <c r="J91" s="39"/>
      <c r="K91" s="39"/>
      <c r="L91" s="39"/>
      <c r="M91" s="39"/>
      <c r="N91" s="41"/>
      <c r="O91" s="39"/>
      <c r="P91" s="33" t="str">
        <f aca="true">IF(B91="","",TODAY()-B91)</f>
        <v/>
      </c>
      <c r="Q91" s="33" t="str">
        <f aca="true">IF(OR(K91="",I91="Enrolled",I91="Lost"),"--",IF(K91&lt;TODAY(),"Overdue",IF(K91=TODAY(),"Due Today","Upcoming")))</f>
        <v>--</v>
      </c>
      <c r="R91" s="33" t="str">
        <f aca="false">IF(C91="","",IF(OR(I91="Enrolled",I91="Lost"),"Closed",IF(OR(I91="Appointment Booked",I91="Trial Completed",O91&gt;=5,AND(I91="Qualified",O91&gt;=4)),"Hot",IF(OR(I91="Qualified",I91="Contacted",O91=3),"Warm","Cold"))))</f>
        <v/>
      </c>
      <c r="S91" s="37" t="str">
        <f aca="false">IF(I91="","",IFERROR(INDEX(Reference!$B$4:$B$10,MATCH(I91,Reference!$A$4:$A$10,0)),0))</f>
        <v/>
      </c>
      <c r="T91" s="35" t="str">
        <f aca="false">IF(C91="","",IF(I91="Enrolled","Enrolled — welcome them and ask for a referral",IF(I91="Lost","Closed out — add to a win-back nurture sequence",IF(Q91="Overdue","OVERDUE — contact "&amp;C91&amp;" today, follow-up was due "&amp;TEXT(K91,"m/d"),IF(R91="Hot","Priority call/text "&amp;C91&amp;" — high interest, "&amp;TEXT(N91,"$#,##0")&amp;" opportunity",IF(R91="Warm","Send "&amp;C91&amp;" info on the "&amp;M91&amp;" and confirm next step","Light-touch check-in with "&amp;C91&amp;" to re-engage"))))))</f>
        <v/>
      </c>
      <c r="U91" s="1" t="n">
        <f aca="false">IF(R91="Hot",N91+ROW()/100000,-1)</f>
        <v>-1</v>
      </c>
      <c r="V91" s="1" t="n">
        <f aca="false">IF(OR(Q91="Overdue",Q91="Due Today"),IF(Q91="Overdue",2000000,1000000)-ROW(),-1)</f>
        <v>-1</v>
      </c>
    </row>
    <row r="92" customFormat="false" ht="15" hidden="false" customHeight="true" outlineLevel="0" collapsed="false">
      <c r="A92" s="33"/>
      <c r="B92" s="39"/>
      <c r="C92" s="39"/>
      <c r="D92" s="39"/>
      <c r="E92" s="39"/>
      <c r="F92" s="39"/>
      <c r="G92" s="40"/>
      <c r="H92" s="39"/>
      <c r="I92" s="39"/>
      <c r="J92" s="39"/>
      <c r="K92" s="39"/>
      <c r="L92" s="39"/>
      <c r="M92" s="39"/>
      <c r="N92" s="41"/>
      <c r="O92" s="39"/>
      <c r="P92" s="33" t="str">
        <f aca="true">IF(B92="","",TODAY()-B92)</f>
        <v/>
      </c>
      <c r="Q92" s="33" t="str">
        <f aca="true">IF(OR(K92="",I92="Enrolled",I92="Lost"),"--",IF(K92&lt;TODAY(),"Overdue",IF(K92=TODAY(),"Due Today","Upcoming")))</f>
        <v>--</v>
      </c>
      <c r="R92" s="33" t="str">
        <f aca="false">IF(C92="","",IF(OR(I92="Enrolled",I92="Lost"),"Closed",IF(OR(I92="Appointment Booked",I92="Trial Completed",O92&gt;=5,AND(I92="Qualified",O92&gt;=4)),"Hot",IF(OR(I92="Qualified",I92="Contacted",O92=3),"Warm","Cold"))))</f>
        <v/>
      </c>
      <c r="S92" s="37" t="str">
        <f aca="false">IF(I92="","",IFERROR(INDEX(Reference!$B$4:$B$10,MATCH(I92,Reference!$A$4:$A$10,0)),0))</f>
        <v/>
      </c>
      <c r="T92" s="35" t="str">
        <f aca="false">IF(C92="","",IF(I92="Enrolled","Enrolled — welcome them and ask for a referral",IF(I92="Lost","Closed out — add to a win-back nurture sequence",IF(Q92="Overdue","OVERDUE — contact "&amp;C92&amp;" today, follow-up was due "&amp;TEXT(K92,"m/d"),IF(R92="Hot","Priority call/text "&amp;C92&amp;" — high interest, "&amp;TEXT(N92,"$#,##0")&amp;" opportunity",IF(R92="Warm","Send "&amp;C92&amp;" info on the "&amp;M92&amp;" and confirm next step","Light-touch check-in with "&amp;C92&amp;" to re-engage"))))))</f>
        <v/>
      </c>
      <c r="U92" s="1" t="n">
        <f aca="false">IF(R92="Hot",N92+ROW()/100000,-1)</f>
        <v>-1</v>
      </c>
      <c r="V92" s="1" t="n">
        <f aca="false">IF(OR(Q92="Overdue",Q92="Due Today"),IF(Q92="Overdue",2000000,1000000)-ROW(),-1)</f>
        <v>-1</v>
      </c>
    </row>
    <row r="93" customFormat="false" ht="15" hidden="false" customHeight="true" outlineLevel="0" collapsed="false">
      <c r="A93" s="33"/>
      <c r="B93" s="39"/>
      <c r="C93" s="39"/>
      <c r="D93" s="39"/>
      <c r="E93" s="39"/>
      <c r="F93" s="39"/>
      <c r="G93" s="40"/>
      <c r="H93" s="39"/>
      <c r="I93" s="39"/>
      <c r="J93" s="39"/>
      <c r="K93" s="39"/>
      <c r="L93" s="39"/>
      <c r="M93" s="39"/>
      <c r="N93" s="41"/>
      <c r="O93" s="39"/>
      <c r="P93" s="33" t="str">
        <f aca="true">IF(B93="","",TODAY()-B93)</f>
        <v/>
      </c>
      <c r="Q93" s="33" t="str">
        <f aca="true">IF(OR(K93="",I93="Enrolled",I93="Lost"),"--",IF(K93&lt;TODAY(),"Overdue",IF(K93=TODAY(),"Due Today","Upcoming")))</f>
        <v>--</v>
      </c>
      <c r="R93" s="33" t="str">
        <f aca="false">IF(C93="","",IF(OR(I93="Enrolled",I93="Lost"),"Closed",IF(OR(I93="Appointment Booked",I93="Trial Completed",O93&gt;=5,AND(I93="Qualified",O93&gt;=4)),"Hot",IF(OR(I93="Qualified",I93="Contacted",O93=3),"Warm","Cold"))))</f>
        <v/>
      </c>
      <c r="S93" s="37" t="str">
        <f aca="false">IF(I93="","",IFERROR(INDEX(Reference!$B$4:$B$10,MATCH(I93,Reference!$A$4:$A$10,0)),0))</f>
        <v/>
      </c>
      <c r="T93" s="35" t="str">
        <f aca="false">IF(C93="","",IF(I93="Enrolled","Enrolled — welcome them and ask for a referral",IF(I93="Lost","Closed out — add to a win-back nurture sequence",IF(Q93="Overdue","OVERDUE — contact "&amp;C93&amp;" today, follow-up was due "&amp;TEXT(K93,"m/d"),IF(R93="Hot","Priority call/text "&amp;C93&amp;" — high interest, "&amp;TEXT(N93,"$#,##0")&amp;" opportunity",IF(R93="Warm","Send "&amp;C93&amp;" info on the "&amp;M93&amp;" and confirm next step","Light-touch check-in with "&amp;C93&amp;" to re-engage"))))))</f>
        <v/>
      </c>
      <c r="U93" s="1" t="n">
        <f aca="false">IF(R93="Hot",N93+ROW()/100000,-1)</f>
        <v>-1</v>
      </c>
      <c r="V93" s="1" t="n">
        <f aca="false">IF(OR(Q93="Overdue",Q93="Due Today"),IF(Q93="Overdue",2000000,1000000)-ROW(),-1)</f>
        <v>-1</v>
      </c>
    </row>
    <row r="94" customFormat="false" ht="15" hidden="false" customHeight="true" outlineLevel="0" collapsed="false">
      <c r="A94" s="33"/>
      <c r="B94" s="39"/>
      <c r="C94" s="39"/>
      <c r="D94" s="39"/>
      <c r="E94" s="39"/>
      <c r="F94" s="39"/>
      <c r="G94" s="40"/>
      <c r="H94" s="39"/>
      <c r="I94" s="39"/>
      <c r="J94" s="39"/>
      <c r="K94" s="39"/>
      <c r="L94" s="39"/>
      <c r="M94" s="39"/>
      <c r="N94" s="41"/>
      <c r="O94" s="39"/>
      <c r="P94" s="33" t="str">
        <f aca="true">IF(B94="","",TODAY()-B94)</f>
        <v/>
      </c>
      <c r="Q94" s="33" t="str">
        <f aca="true">IF(OR(K94="",I94="Enrolled",I94="Lost"),"--",IF(K94&lt;TODAY(),"Overdue",IF(K94=TODAY(),"Due Today","Upcoming")))</f>
        <v>--</v>
      </c>
      <c r="R94" s="33" t="str">
        <f aca="false">IF(C94="","",IF(OR(I94="Enrolled",I94="Lost"),"Closed",IF(OR(I94="Appointment Booked",I94="Trial Completed",O94&gt;=5,AND(I94="Qualified",O94&gt;=4)),"Hot",IF(OR(I94="Qualified",I94="Contacted",O94=3),"Warm","Cold"))))</f>
        <v/>
      </c>
      <c r="S94" s="37" t="str">
        <f aca="false">IF(I94="","",IFERROR(INDEX(Reference!$B$4:$B$10,MATCH(I94,Reference!$A$4:$A$10,0)),0))</f>
        <v/>
      </c>
      <c r="T94" s="35" t="str">
        <f aca="false">IF(C94="","",IF(I94="Enrolled","Enrolled — welcome them and ask for a referral",IF(I94="Lost","Closed out — add to a win-back nurture sequence",IF(Q94="Overdue","OVERDUE — contact "&amp;C94&amp;" today, follow-up was due "&amp;TEXT(K94,"m/d"),IF(R94="Hot","Priority call/text "&amp;C94&amp;" — high interest, "&amp;TEXT(N94,"$#,##0")&amp;" opportunity",IF(R94="Warm","Send "&amp;C94&amp;" info on the "&amp;M94&amp;" and confirm next step","Light-touch check-in with "&amp;C94&amp;" to re-engage"))))))</f>
        <v/>
      </c>
      <c r="U94" s="1" t="n">
        <f aca="false">IF(R94="Hot",N94+ROW()/100000,-1)</f>
        <v>-1</v>
      </c>
      <c r="V94" s="1" t="n">
        <f aca="false">IF(OR(Q94="Overdue",Q94="Due Today"),IF(Q94="Overdue",2000000,1000000)-ROW(),-1)</f>
        <v>-1</v>
      </c>
    </row>
    <row r="95" customFormat="false" ht="15" hidden="false" customHeight="true" outlineLevel="0" collapsed="false">
      <c r="A95" s="33"/>
      <c r="B95" s="39"/>
      <c r="C95" s="39"/>
      <c r="D95" s="39"/>
      <c r="E95" s="39"/>
      <c r="F95" s="39"/>
      <c r="G95" s="40"/>
      <c r="H95" s="39"/>
      <c r="I95" s="39"/>
      <c r="J95" s="39"/>
      <c r="K95" s="39"/>
      <c r="L95" s="39"/>
      <c r="M95" s="39"/>
      <c r="N95" s="41"/>
      <c r="O95" s="39"/>
      <c r="P95" s="33" t="str">
        <f aca="true">IF(B95="","",TODAY()-B95)</f>
        <v/>
      </c>
      <c r="Q95" s="33" t="str">
        <f aca="true">IF(OR(K95="",I95="Enrolled",I95="Lost"),"--",IF(K95&lt;TODAY(),"Overdue",IF(K95=TODAY(),"Due Today","Upcoming")))</f>
        <v>--</v>
      </c>
      <c r="R95" s="33" t="str">
        <f aca="false">IF(C95="","",IF(OR(I95="Enrolled",I95="Lost"),"Closed",IF(OR(I95="Appointment Booked",I95="Trial Completed",O95&gt;=5,AND(I95="Qualified",O95&gt;=4)),"Hot",IF(OR(I95="Qualified",I95="Contacted",O95=3),"Warm","Cold"))))</f>
        <v/>
      </c>
      <c r="S95" s="37" t="str">
        <f aca="false">IF(I95="","",IFERROR(INDEX(Reference!$B$4:$B$10,MATCH(I95,Reference!$A$4:$A$10,0)),0))</f>
        <v/>
      </c>
      <c r="T95" s="35" t="str">
        <f aca="false">IF(C95="","",IF(I95="Enrolled","Enrolled — welcome them and ask for a referral",IF(I95="Lost","Closed out — add to a win-back nurture sequence",IF(Q95="Overdue","OVERDUE — contact "&amp;C95&amp;" today, follow-up was due "&amp;TEXT(K95,"m/d"),IF(R95="Hot","Priority call/text "&amp;C95&amp;" — high interest, "&amp;TEXT(N95,"$#,##0")&amp;" opportunity",IF(R95="Warm","Send "&amp;C95&amp;" info on the "&amp;M95&amp;" and confirm next step","Light-touch check-in with "&amp;C95&amp;" to re-engage"))))))</f>
        <v/>
      </c>
      <c r="U95" s="1" t="n">
        <f aca="false">IF(R95="Hot",N95+ROW()/100000,-1)</f>
        <v>-1</v>
      </c>
      <c r="V95" s="1" t="n">
        <f aca="false">IF(OR(Q95="Overdue",Q95="Due Today"),IF(Q95="Overdue",2000000,1000000)-ROW(),-1)</f>
        <v>-1</v>
      </c>
    </row>
    <row r="96" customFormat="false" ht="15" hidden="false" customHeight="true" outlineLevel="0" collapsed="false">
      <c r="A96" s="33"/>
      <c r="B96" s="39"/>
      <c r="C96" s="39"/>
      <c r="D96" s="39"/>
      <c r="E96" s="39"/>
      <c r="F96" s="39"/>
      <c r="G96" s="40"/>
      <c r="H96" s="39"/>
      <c r="I96" s="39"/>
      <c r="J96" s="39"/>
      <c r="K96" s="39"/>
      <c r="L96" s="39"/>
      <c r="M96" s="39"/>
      <c r="N96" s="41"/>
      <c r="O96" s="39"/>
      <c r="P96" s="33" t="str">
        <f aca="true">IF(B96="","",TODAY()-B96)</f>
        <v/>
      </c>
      <c r="Q96" s="33" t="str">
        <f aca="true">IF(OR(K96="",I96="Enrolled",I96="Lost"),"--",IF(K96&lt;TODAY(),"Overdue",IF(K96=TODAY(),"Due Today","Upcoming")))</f>
        <v>--</v>
      </c>
      <c r="R96" s="33" t="str">
        <f aca="false">IF(C96="","",IF(OR(I96="Enrolled",I96="Lost"),"Closed",IF(OR(I96="Appointment Booked",I96="Trial Completed",O96&gt;=5,AND(I96="Qualified",O96&gt;=4)),"Hot",IF(OR(I96="Qualified",I96="Contacted",O96=3),"Warm","Cold"))))</f>
        <v/>
      </c>
      <c r="S96" s="37" t="str">
        <f aca="false">IF(I96="","",IFERROR(INDEX(Reference!$B$4:$B$10,MATCH(I96,Reference!$A$4:$A$10,0)),0))</f>
        <v/>
      </c>
      <c r="T96" s="35" t="str">
        <f aca="false">IF(C96="","",IF(I96="Enrolled","Enrolled — welcome them and ask for a referral",IF(I96="Lost","Closed out — add to a win-back nurture sequence",IF(Q96="Overdue","OVERDUE — contact "&amp;C96&amp;" today, follow-up was due "&amp;TEXT(K96,"m/d"),IF(R96="Hot","Priority call/text "&amp;C96&amp;" — high interest, "&amp;TEXT(N96,"$#,##0")&amp;" opportunity",IF(R96="Warm","Send "&amp;C96&amp;" info on the "&amp;M96&amp;" and confirm next step","Light-touch check-in with "&amp;C96&amp;" to re-engage"))))))</f>
        <v/>
      </c>
      <c r="U96" s="1" t="n">
        <f aca="false">IF(R96="Hot",N96+ROW()/100000,-1)</f>
        <v>-1</v>
      </c>
      <c r="V96" s="1" t="n">
        <f aca="false">IF(OR(Q96="Overdue",Q96="Due Today"),IF(Q96="Overdue",2000000,1000000)-ROW(),-1)</f>
        <v>-1</v>
      </c>
    </row>
    <row r="97" customFormat="false" ht="15" hidden="false" customHeight="true" outlineLevel="0" collapsed="false">
      <c r="A97" s="33"/>
      <c r="B97" s="39"/>
      <c r="C97" s="39"/>
      <c r="D97" s="39"/>
      <c r="E97" s="39"/>
      <c r="F97" s="39"/>
      <c r="G97" s="40"/>
      <c r="H97" s="39"/>
      <c r="I97" s="39"/>
      <c r="J97" s="39"/>
      <c r="K97" s="39"/>
      <c r="L97" s="39"/>
      <c r="M97" s="39"/>
      <c r="N97" s="41"/>
      <c r="O97" s="39"/>
      <c r="P97" s="33" t="str">
        <f aca="true">IF(B97="","",TODAY()-B97)</f>
        <v/>
      </c>
      <c r="Q97" s="33" t="str">
        <f aca="true">IF(OR(K97="",I97="Enrolled",I97="Lost"),"--",IF(K97&lt;TODAY(),"Overdue",IF(K97=TODAY(),"Due Today","Upcoming")))</f>
        <v>--</v>
      </c>
      <c r="R97" s="33" t="str">
        <f aca="false">IF(C97="","",IF(OR(I97="Enrolled",I97="Lost"),"Closed",IF(OR(I97="Appointment Booked",I97="Trial Completed",O97&gt;=5,AND(I97="Qualified",O97&gt;=4)),"Hot",IF(OR(I97="Qualified",I97="Contacted",O97=3),"Warm","Cold"))))</f>
        <v/>
      </c>
      <c r="S97" s="37" t="str">
        <f aca="false">IF(I97="","",IFERROR(INDEX(Reference!$B$4:$B$10,MATCH(I97,Reference!$A$4:$A$10,0)),0))</f>
        <v/>
      </c>
      <c r="T97" s="35" t="str">
        <f aca="false">IF(C97="","",IF(I97="Enrolled","Enrolled — welcome them and ask for a referral",IF(I97="Lost","Closed out — add to a win-back nurture sequence",IF(Q97="Overdue","OVERDUE — contact "&amp;C97&amp;" today, follow-up was due "&amp;TEXT(K97,"m/d"),IF(R97="Hot","Priority call/text "&amp;C97&amp;" — high interest, "&amp;TEXT(N97,"$#,##0")&amp;" opportunity",IF(R97="Warm","Send "&amp;C97&amp;" info on the "&amp;M97&amp;" and confirm next step","Light-touch check-in with "&amp;C97&amp;" to re-engage"))))))</f>
        <v/>
      </c>
      <c r="U97" s="1" t="n">
        <f aca="false">IF(R97="Hot",N97+ROW()/100000,-1)</f>
        <v>-1</v>
      </c>
      <c r="V97" s="1" t="n">
        <f aca="false">IF(OR(Q97="Overdue",Q97="Due Today"),IF(Q97="Overdue",2000000,1000000)-ROW(),-1)</f>
        <v>-1</v>
      </c>
    </row>
    <row r="98" customFormat="false" ht="15" hidden="false" customHeight="true" outlineLevel="0" collapsed="false">
      <c r="A98" s="33"/>
      <c r="B98" s="39"/>
      <c r="C98" s="39"/>
      <c r="D98" s="39"/>
      <c r="E98" s="39"/>
      <c r="F98" s="39"/>
      <c r="G98" s="40"/>
      <c r="H98" s="39"/>
      <c r="I98" s="39"/>
      <c r="J98" s="39"/>
      <c r="K98" s="39"/>
      <c r="L98" s="39"/>
      <c r="M98" s="39"/>
      <c r="N98" s="41"/>
      <c r="O98" s="39"/>
      <c r="P98" s="33" t="str">
        <f aca="true">IF(B98="","",TODAY()-B98)</f>
        <v/>
      </c>
      <c r="Q98" s="33" t="str">
        <f aca="true">IF(OR(K98="",I98="Enrolled",I98="Lost"),"--",IF(K98&lt;TODAY(),"Overdue",IF(K98=TODAY(),"Due Today","Upcoming")))</f>
        <v>--</v>
      </c>
      <c r="R98" s="33" t="str">
        <f aca="false">IF(C98="","",IF(OR(I98="Enrolled",I98="Lost"),"Closed",IF(OR(I98="Appointment Booked",I98="Trial Completed",O98&gt;=5,AND(I98="Qualified",O98&gt;=4)),"Hot",IF(OR(I98="Qualified",I98="Contacted",O98=3),"Warm","Cold"))))</f>
        <v/>
      </c>
      <c r="S98" s="37" t="str">
        <f aca="false">IF(I98="","",IFERROR(INDEX(Reference!$B$4:$B$10,MATCH(I98,Reference!$A$4:$A$10,0)),0))</f>
        <v/>
      </c>
      <c r="T98" s="35" t="str">
        <f aca="false">IF(C98="","",IF(I98="Enrolled","Enrolled — welcome them and ask for a referral",IF(I98="Lost","Closed out — add to a win-back nurture sequence",IF(Q98="Overdue","OVERDUE — contact "&amp;C98&amp;" today, follow-up was due "&amp;TEXT(K98,"m/d"),IF(R98="Hot","Priority call/text "&amp;C98&amp;" — high interest, "&amp;TEXT(N98,"$#,##0")&amp;" opportunity",IF(R98="Warm","Send "&amp;C98&amp;" info on the "&amp;M98&amp;" and confirm next step","Light-touch check-in with "&amp;C98&amp;" to re-engage"))))))</f>
        <v/>
      </c>
      <c r="U98" s="1" t="n">
        <f aca="false">IF(R98="Hot",N98+ROW()/100000,-1)</f>
        <v>-1</v>
      </c>
      <c r="V98" s="1" t="n">
        <f aca="false">IF(OR(Q98="Overdue",Q98="Due Today"),IF(Q98="Overdue",2000000,1000000)-ROW(),-1)</f>
        <v>-1</v>
      </c>
    </row>
    <row r="99" customFormat="false" ht="15" hidden="false" customHeight="true" outlineLevel="0" collapsed="false">
      <c r="A99" s="33"/>
      <c r="B99" s="39"/>
      <c r="C99" s="39"/>
      <c r="D99" s="39"/>
      <c r="E99" s="39"/>
      <c r="F99" s="39"/>
      <c r="G99" s="40"/>
      <c r="H99" s="39"/>
      <c r="I99" s="39"/>
      <c r="J99" s="39"/>
      <c r="K99" s="39"/>
      <c r="L99" s="39"/>
      <c r="M99" s="39"/>
      <c r="N99" s="41"/>
      <c r="O99" s="39"/>
      <c r="P99" s="33" t="str">
        <f aca="true">IF(B99="","",TODAY()-B99)</f>
        <v/>
      </c>
      <c r="Q99" s="33" t="str">
        <f aca="true">IF(OR(K99="",I99="Enrolled",I99="Lost"),"--",IF(K99&lt;TODAY(),"Overdue",IF(K99=TODAY(),"Due Today","Upcoming")))</f>
        <v>--</v>
      </c>
      <c r="R99" s="33" t="str">
        <f aca="false">IF(C99="","",IF(OR(I99="Enrolled",I99="Lost"),"Closed",IF(OR(I99="Appointment Booked",I99="Trial Completed",O99&gt;=5,AND(I99="Qualified",O99&gt;=4)),"Hot",IF(OR(I99="Qualified",I99="Contacted",O99=3),"Warm","Cold"))))</f>
        <v/>
      </c>
      <c r="S99" s="37" t="str">
        <f aca="false">IF(I99="","",IFERROR(INDEX(Reference!$B$4:$B$10,MATCH(I99,Reference!$A$4:$A$10,0)),0))</f>
        <v/>
      </c>
      <c r="T99" s="35" t="str">
        <f aca="false">IF(C99="","",IF(I99="Enrolled","Enrolled — welcome them and ask for a referral",IF(I99="Lost","Closed out — add to a win-back nurture sequence",IF(Q99="Overdue","OVERDUE — contact "&amp;C99&amp;" today, follow-up was due "&amp;TEXT(K99,"m/d"),IF(R99="Hot","Priority call/text "&amp;C99&amp;" — high interest, "&amp;TEXT(N99,"$#,##0")&amp;" opportunity",IF(R99="Warm","Send "&amp;C99&amp;" info on the "&amp;M99&amp;" and confirm next step","Light-touch check-in with "&amp;C99&amp;" to re-engage"))))))</f>
        <v/>
      </c>
      <c r="U99" s="1" t="n">
        <f aca="false">IF(R99="Hot",N99+ROW()/100000,-1)</f>
        <v>-1</v>
      </c>
      <c r="V99" s="1" t="n">
        <f aca="false">IF(OR(Q99="Overdue",Q99="Due Today"),IF(Q99="Overdue",2000000,1000000)-ROW(),-1)</f>
        <v>-1</v>
      </c>
    </row>
    <row r="100" customFormat="false" ht="15" hidden="false" customHeight="true" outlineLevel="0" collapsed="false">
      <c r="A100" s="33"/>
      <c r="B100" s="39"/>
      <c r="C100" s="39"/>
      <c r="D100" s="39"/>
      <c r="E100" s="39"/>
      <c r="F100" s="39"/>
      <c r="G100" s="40"/>
      <c r="H100" s="39"/>
      <c r="I100" s="39"/>
      <c r="J100" s="39"/>
      <c r="K100" s="39"/>
      <c r="L100" s="39"/>
      <c r="M100" s="39"/>
      <c r="N100" s="41"/>
      <c r="O100" s="39"/>
      <c r="P100" s="33" t="str">
        <f aca="true">IF(B100="","",TODAY()-B100)</f>
        <v/>
      </c>
      <c r="Q100" s="33" t="str">
        <f aca="true">IF(OR(K100="",I100="Enrolled",I100="Lost"),"--",IF(K100&lt;TODAY(),"Overdue",IF(K100=TODAY(),"Due Today","Upcoming")))</f>
        <v>--</v>
      </c>
      <c r="R100" s="33" t="str">
        <f aca="false">IF(C100="","",IF(OR(I100="Enrolled",I100="Lost"),"Closed",IF(OR(I100="Appointment Booked",I100="Trial Completed",O100&gt;=5,AND(I100="Qualified",O100&gt;=4)),"Hot",IF(OR(I100="Qualified",I100="Contacted",O100=3),"Warm","Cold"))))</f>
        <v/>
      </c>
      <c r="S100" s="37" t="str">
        <f aca="false">IF(I100="","",IFERROR(INDEX(Reference!$B$4:$B$10,MATCH(I100,Reference!$A$4:$A$10,0)),0))</f>
        <v/>
      </c>
      <c r="T100" s="35" t="str">
        <f aca="false">IF(C100="","",IF(I100="Enrolled","Enrolled — welcome them and ask for a referral",IF(I100="Lost","Closed out — add to a win-back nurture sequence",IF(Q100="Overdue","OVERDUE — contact "&amp;C100&amp;" today, follow-up was due "&amp;TEXT(K100,"m/d"),IF(R100="Hot","Priority call/text "&amp;C100&amp;" — high interest, "&amp;TEXT(N100,"$#,##0")&amp;" opportunity",IF(R100="Warm","Send "&amp;C100&amp;" info on the "&amp;M100&amp;" and confirm next step","Light-touch check-in with "&amp;C100&amp;" to re-engage"))))))</f>
        <v/>
      </c>
      <c r="U100" s="1" t="n">
        <f aca="false">IF(R100="Hot",N100+ROW()/100000,-1)</f>
        <v>-1</v>
      </c>
      <c r="V100" s="1" t="n">
        <f aca="false">IF(OR(Q100="Overdue",Q100="Due Today"),IF(Q100="Overdue",2000000,1000000)-ROW(),-1)</f>
        <v>-1</v>
      </c>
    </row>
    <row r="101" customFormat="false" ht="15" hidden="false" customHeight="true" outlineLevel="0" collapsed="false">
      <c r="A101" s="33"/>
      <c r="B101" s="39"/>
      <c r="C101" s="39"/>
      <c r="D101" s="39"/>
      <c r="E101" s="39"/>
      <c r="F101" s="39"/>
      <c r="G101" s="40"/>
      <c r="H101" s="39"/>
      <c r="I101" s="39"/>
      <c r="J101" s="39"/>
      <c r="K101" s="39"/>
      <c r="L101" s="39"/>
      <c r="M101" s="39"/>
      <c r="N101" s="41"/>
      <c r="O101" s="39"/>
      <c r="P101" s="33" t="str">
        <f aca="true">IF(B101="","",TODAY()-B101)</f>
        <v/>
      </c>
      <c r="Q101" s="33" t="str">
        <f aca="true">IF(OR(K101="",I101="Enrolled",I101="Lost"),"--",IF(K101&lt;TODAY(),"Overdue",IF(K101=TODAY(),"Due Today","Upcoming")))</f>
        <v>--</v>
      </c>
      <c r="R101" s="33" t="str">
        <f aca="false">IF(C101="","",IF(OR(I101="Enrolled",I101="Lost"),"Closed",IF(OR(I101="Appointment Booked",I101="Trial Completed",O101&gt;=5,AND(I101="Qualified",O101&gt;=4)),"Hot",IF(OR(I101="Qualified",I101="Contacted",O101=3),"Warm","Cold"))))</f>
        <v/>
      </c>
      <c r="S101" s="37" t="str">
        <f aca="false">IF(I101="","",IFERROR(INDEX(Reference!$B$4:$B$10,MATCH(I101,Reference!$A$4:$A$10,0)),0))</f>
        <v/>
      </c>
      <c r="T101" s="35" t="str">
        <f aca="false">IF(C101="","",IF(I101="Enrolled","Enrolled — welcome them and ask for a referral",IF(I101="Lost","Closed out — add to a win-back nurture sequence",IF(Q101="Overdue","OVERDUE — contact "&amp;C101&amp;" today, follow-up was due "&amp;TEXT(K101,"m/d"),IF(R101="Hot","Priority call/text "&amp;C101&amp;" — high interest, "&amp;TEXT(N101,"$#,##0")&amp;" opportunity",IF(R101="Warm","Send "&amp;C101&amp;" info on the "&amp;M101&amp;" and confirm next step","Light-touch check-in with "&amp;C101&amp;" to re-engage"))))))</f>
        <v/>
      </c>
      <c r="U101" s="1" t="n">
        <f aca="false">IF(R101="Hot",N101+ROW()/100000,-1)</f>
        <v>-1</v>
      </c>
      <c r="V101" s="1" t="n">
        <f aca="false">IF(OR(Q101="Overdue",Q101="Due Today"),IF(Q101="Overdue",2000000,1000000)-ROW(),-1)</f>
        <v>-1</v>
      </c>
    </row>
  </sheetData>
  <mergeCells count="1">
    <mergeCell ref="A1:F1"/>
  </mergeCells>
  <conditionalFormatting sqref="R2:R101">
    <cfRule type="cellIs" priority="2" operator="equal" aboveAverage="0" equalAverage="0" bottom="0" percent="0" rank="0" text="" dxfId="0">
      <formula>"Hot"</formula>
    </cfRule>
    <cfRule type="cellIs" priority="3" operator="equal" aboveAverage="0" equalAverage="0" bottom="0" percent="0" rank="0" text="" dxfId="1">
      <formula>"Warm"</formula>
    </cfRule>
    <cfRule type="cellIs" priority="4" operator="equal" aboveAverage="0" equalAverage="0" bottom="0" percent="0" rank="0" text="" dxfId="2">
      <formula>"Cold"</formula>
    </cfRule>
    <cfRule type="cellIs" priority="5" operator="equal" aboveAverage="0" equalAverage="0" bottom="0" percent="0" rank="0" text="" dxfId="3">
      <formula>"Closed"</formula>
    </cfRule>
  </conditionalFormatting>
  <conditionalFormatting sqref="Q2:Q101">
    <cfRule type="cellIs" priority="6" operator="equal" aboveAverage="0" equalAverage="0" bottom="0" percent="0" rank="0" text="" dxfId="0">
      <formula>"Overdue"</formula>
    </cfRule>
    <cfRule type="cellIs" priority="7" operator="equal" aboveAverage="0" equalAverage="0" bottom="0" percent="0" rank="0" text="" dxfId="1">
      <formula>"Due Today"</formula>
    </cfRule>
  </conditionalFormatting>
  <dataValidations count="5">
    <dataValidation allowBlank="true" errorStyle="stop" operator="between" showDropDown="false" showErrorMessage="false" showInputMessage="false" sqref="I2:I101" type="list">
      <formula1>Reference!$A$4:$A$10</formula1>
      <formula2>0</formula2>
    </dataValidation>
    <dataValidation allowBlank="true" errorStyle="stop" operator="between" showDropDown="false" showErrorMessage="false" showInputMessage="false" sqref="H2:H101" type="list">
      <formula1>Reference!$D$4:$D$13</formula1>
      <formula2>0</formula2>
    </dataValidation>
    <dataValidation allowBlank="true" errorStyle="stop" operator="between" showDropDown="false" showErrorMessage="false" showInputMessage="false" sqref="F2:F101" type="list">
      <formula1>Reference!$F$4:$F$11</formula1>
      <formula2>0</formula2>
    </dataValidation>
    <dataValidation allowBlank="true" errorStyle="stop" operator="between" showDropDown="false" showErrorMessage="false" showInputMessage="false" sqref="L2:L101" type="list">
      <formula1>Reference!$I$4:$I$6</formula1>
      <formula2>0</formula2>
    </dataValidation>
    <dataValidation allowBlank="true" errorStyle="stop" operator="between" showDropDown="false" showErrorMessage="false" showInputMessage="false" sqref="O2:O101" type="list">
      <formula1>"1,2,3,4,5"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8"/>
    <col collapsed="false" customWidth="true" hidden="false" outlineLevel="0" max="3" min="3" style="1" width="3"/>
    <col collapsed="false" customWidth="true" hidden="false" outlineLevel="0" max="4" min="4" style="1" width="16"/>
    <col collapsed="false" customWidth="true" hidden="false" outlineLevel="0" max="5" min="5" style="1" width="3"/>
    <col collapsed="false" customWidth="true" hidden="false" outlineLevel="0" max="6" min="6" style="1" width="24"/>
    <col collapsed="false" customWidth="true" hidden="false" outlineLevel="0" max="7" min="7" style="1" width="30"/>
    <col collapsed="false" customWidth="true" hidden="false" outlineLevel="0" max="8" min="8" style="1" width="3"/>
    <col collapsed="false" customWidth="true" hidden="false" outlineLevel="0" max="9" min="9" style="1" width="18"/>
    <col collapsed="false" customWidth="true" hidden="false" outlineLevel="0" max="10" min="10" style="1" width="3"/>
    <col collapsed="false" customWidth="true" hidden="false" outlineLevel="0" max="11" min="11" style="1" width="8"/>
    <col collapsed="false" customWidth="true" hidden="false" outlineLevel="0" max="12" min="12" style="1" width="42"/>
  </cols>
  <sheetData>
    <row r="1" customFormat="false" ht="17.25" hidden="false" customHeight="true" outlineLevel="0" collapsed="false">
      <c r="A1" s="42" t="s">
        <v>125</v>
      </c>
    </row>
    <row r="3" customFormat="false" ht="26.25" hidden="false" customHeight="true" outlineLevel="0" collapsed="false">
      <c r="A3" s="43" t="s">
        <v>46</v>
      </c>
      <c r="B3" s="43" t="s">
        <v>126</v>
      </c>
      <c r="D3" s="43" t="s">
        <v>45</v>
      </c>
      <c r="F3" s="43" t="s">
        <v>127</v>
      </c>
      <c r="G3" s="43" t="s">
        <v>128</v>
      </c>
      <c r="I3" s="43" t="s">
        <v>49</v>
      </c>
      <c r="K3" s="44" t="s">
        <v>129</v>
      </c>
      <c r="L3" s="44"/>
    </row>
    <row r="4" customFormat="false" ht="15" hidden="false" customHeight="true" outlineLevel="0" collapsed="false">
      <c r="A4" s="45" t="s">
        <v>31</v>
      </c>
      <c r="B4" s="46" t="n">
        <v>0.1</v>
      </c>
      <c r="D4" s="45" t="s">
        <v>65</v>
      </c>
      <c r="F4" s="45" t="s">
        <v>63</v>
      </c>
      <c r="G4" s="45" t="s">
        <v>67</v>
      </c>
      <c r="I4" s="45" t="s">
        <v>74</v>
      </c>
      <c r="K4" s="47" t="s">
        <v>130</v>
      </c>
      <c r="L4" s="47" t="s">
        <v>131</v>
      </c>
    </row>
    <row r="5" customFormat="false" ht="15" hidden="false" customHeight="true" outlineLevel="0" collapsed="false">
      <c r="A5" s="45" t="s">
        <v>32</v>
      </c>
      <c r="B5" s="46" t="n">
        <v>0.2</v>
      </c>
      <c r="D5" s="45" t="s">
        <v>89</v>
      </c>
      <c r="F5" s="45" t="s">
        <v>79</v>
      </c>
      <c r="G5" s="45" t="s">
        <v>83</v>
      </c>
      <c r="I5" s="45" t="s">
        <v>66</v>
      </c>
      <c r="K5" s="45" t="n">
        <v>5</v>
      </c>
      <c r="L5" s="45" t="s">
        <v>132</v>
      </c>
    </row>
    <row r="6" customFormat="false" ht="15" hidden="false" customHeight="true" outlineLevel="0" collapsed="false">
      <c r="A6" s="45" t="s">
        <v>34</v>
      </c>
      <c r="B6" s="46" t="n">
        <v>0.35</v>
      </c>
      <c r="D6" s="45" t="s">
        <v>73</v>
      </c>
      <c r="F6" s="45" t="s">
        <v>71</v>
      </c>
      <c r="G6" s="45" t="s">
        <v>75</v>
      </c>
      <c r="I6" s="45" t="s">
        <v>82</v>
      </c>
      <c r="K6" s="45" t="n">
        <v>4</v>
      </c>
      <c r="L6" s="45" t="s">
        <v>133</v>
      </c>
    </row>
    <row r="7" customFormat="false" ht="15" hidden="false" customHeight="true" outlineLevel="0" collapsed="false">
      <c r="A7" s="45" t="s">
        <v>35</v>
      </c>
      <c r="B7" s="46" t="n">
        <v>0.55</v>
      </c>
      <c r="D7" s="45" t="s">
        <v>81</v>
      </c>
      <c r="F7" s="45" t="s">
        <v>99</v>
      </c>
      <c r="G7" s="45" t="s">
        <v>101</v>
      </c>
      <c r="K7" s="45" t="n">
        <v>3</v>
      </c>
      <c r="L7" s="45" t="s">
        <v>134</v>
      </c>
    </row>
    <row r="8" customFormat="false" ht="15" hidden="false" customHeight="true" outlineLevel="0" collapsed="false">
      <c r="A8" s="45" t="s">
        <v>36</v>
      </c>
      <c r="B8" s="46" t="n">
        <v>0.75</v>
      </c>
      <c r="D8" s="45" t="s">
        <v>95</v>
      </c>
      <c r="F8" s="45" t="s">
        <v>87</v>
      </c>
      <c r="G8" s="45" t="s">
        <v>90</v>
      </c>
      <c r="K8" s="45" t="n">
        <v>2</v>
      </c>
      <c r="L8" s="45" t="s">
        <v>135</v>
      </c>
    </row>
    <row r="9" customFormat="false" ht="15" hidden="false" customHeight="true" outlineLevel="0" collapsed="false">
      <c r="A9" s="45" t="s">
        <v>37</v>
      </c>
      <c r="B9" s="46" t="n">
        <v>1</v>
      </c>
      <c r="D9" s="45" t="s">
        <v>107</v>
      </c>
      <c r="F9" s="45" t="s">
        <v>105</v>
      </c>
      <c r="G9" s="45" t="s">
        <v>108</v>
      </c>
      <c r="K9" s="45" t="n">
        <v>1</v>
      </c>
      <c r="L9" s="45" t="s">
        <v>136</v>
      </c>
    </row>
    <row r="10" customFormat="false" ht="15" hidden="false" customHeight="true" outlineLevel="0" collapsed="false">
      <c r="A10" s="45" t="s">
        <v>38</v>
      </c>
      <c r="B10" s="46" t="n">
        <v>0</v>
      </c>
      <c r="D10" s="45" t="s">
        <v>137</v>
      </c>
      <c r="F10" s="45" t="s">
        <v>138</v>
      </c>
      <c r="G10" s="45" t="s">
        <v>139</v>
      </c>
    </row>
    <row r="11" customFormat="false" ht="15" hidden="false" customHeight="true" outlineLevel="0" collapsed="false">
      <c r="D11" s="45" t="s">
        <v>113</v>
      </c>
      <c r="F11" s="45" t="s">
        <v>121</v>
      </c>
      <c r="G11" s="45" t="s">
        <v>124</v>
      </c>
    </row>
    <row r="12" customFormat="false" ht="15" hidden="false" customHeight="true" outlineLevel="0" collapsed="false">
      <c r="D12" s="45" t="s">
        <v>123</v>
      </c>
    </row>
    <row r="13" customFormat="false" ht="15" hidden="false" customHeight="true" outlineLevel="0" collapsed="false">
      <c r="D13" s="45" t="s">
        <v>140</v>
      </c>
    </row>
    <row r="20" customFormat="false" ht="15" hidden="false" customHeight="false" outlineLevel="0" collapsed="false">
      <c r="A20" s="48" t="s">
        <v>141</v>
      </c>
    </row>
    <row r="21" customFormat="false" ht="15" hidden="false" customHeight="false" outlineLevel="0" collapsed="false">
      <c r="A21" s="49" t="s">
        <v>22</v>
      </c>
      <c r="B21" s="50" t="s">
        <v>142</v>
      </c>
    </row>
    <row r="22" customFormat="false" ht="15" hidden="false" customHeight="false" outlineLevel="0" collapsed="false">
      <c r="A22" s="51" t="s">
        <v>23</v>
      </c>
      <c r="B22" s="50" t="s">
        <v>143</v>
      </c>
    </row>
    <row r="23" customFormat="false" ht="15" hidden="false" customHeight="false" outlineLevel="0" collapsed="false">
      <c r="A23" s="52" t="s">
        <v>24</v>
      </c>
      <c r="B23" s="50" t="s">
        <v>144</v>
      </c>
    </row>
    <row r="24" customFormat="false" ht="15" hidden="false" customHeight="false" outlineLevel="0" collapsed="false">
      <c r="A24" s="53" t="s">
        <v>145</v>
      </c>
      <c r="B24" s="50" t="s">
        <v>146</v>
      </c>
    </row>
  </sheetData>
  <mergeCells count="1">
    <mergeCell ref="K3:L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2026-08-08T15:04:40Z</dcterms:created>
  <dc:creator>openpyxl</dc:creator>
  <dc:description/>
  <dc:language>en-US</dc:language>
  <cp:lastModifiedBy/>
  <dcterms:modified xsi:type="dcterms:W3CDTF">2026-08-08T15:08:52Z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